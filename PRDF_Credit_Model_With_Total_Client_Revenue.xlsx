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3f84c828ea40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b4b221ede9534035"/>
    <x:sheet xmlns:r="http://schemas.openxmlformats.org/officeDocument/2006/relationships" name="PO Base Scenarios" sheetId="2" r:id="R5127cb92264c4623"/>
    <x:sheet xmlns:r="http://schemas.openxmlformats.org/officeDocument/2006/relationships" name="Short Term Base" sheetId="3" r:id="R39be9a6df2864ef8"/>
    <x:sheet xmlns:r="http://schemas.openxmlformats.org/officeDocument/2006/relationships" name="Late Payment Scenarios" sheetId="4" r:id="R46e56b0a73b74bbe"/>
    <x:sheet xmlns:r="http://schemas.openxmlformats.org/officeDocument/2006/relationships" name="Reports" sheetId="5" r:id="Rd74ff3859475427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0%"/>
    <x:numFmt numFmtId="201" formatCode="#,##0;[Red](#,##0);-"/>
    <x:numFmt numFmtId="202" formatCode="R #,##0.00;[Red](R #,##0.00);-"/>
    <x:numFmt numFmtId="203" formatCode="0 &quot;month(s)&quot;"/>
    <x:numFmt numFmtId="204" formatCode="0.0000%"/>
  </x:numFmts>
  <x:fonts count="7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  <x:font>
      <x:sz val="11"/>
      <x:color rgb="FF008000"/>
      <x:name val="Carlito"/>
    </x:font>
    <x:font>
      <x:i/>
      <x:sz val="11"/>
      <x:name val="Carlito"/>
    </x:font>
    <x:font>
      <x:sz val="11"/>
      <x:color rgb="FF000000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FFFF00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7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3" fillId="0" borderId="0" xfId="0" applyNumberFormat="1" applyFont="1" applyFill="1" applyBorder="1"/>
    <x:xf numFmtId="200" fontId="3" fillId="0" borderId="1" xfId="0" applyNumberFormat="1" applyFont="1" applyFill="1" applyBorder="1"/>
    <x:xf numFmtId="200" fontId="4" fillId="0" borderId="0" xfId="0" applyNumberFormat="1" applyFont="1" applyFill="1" applyBorder="1"/>
    <x:xf numFmtId="200" fontId="4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1" fontId="3" fillId="0" borderId="0" xfId="0" applyNumberFormat="1" applyFont="1" applyFill="1" applyBorder="1"/>
    <x:xf numFmtId="202" fontId="3" fillId="0" borderId="0" xfId="0" applyNumberFormat="1" applyFont="1" applyFill="1" applyBorder="1"/>
    <x:xf numFmtId="201" fontId="3" fillId="0" borderId="1" xfId="0" applyNumberFormat="1" applyFont="1" applyFill="1" applyBorder="1"/>
    <x:xf numFmtId="202" fontId="3" fillId="0" borderId="1" xfId="0" applyNumberFormat="1" applyFont="1" applyFill="1" applyBorder="1"/>
    <x:xf numFmtId="200" fontId="3" fillId="4" borderId="0" xfId="0" applyNumberFormat="1" applyFont="1" applyFill="1" applyBorder="1"/>
    <x:xf numFmtId="200" fontId="3" fillId="4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2" fillId="6" borderId="0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204" fontId="0" fillId="0" borderId="0" xfId="0" applyNumberFormat="1" applyFont="1" applyFill="1" applyBorder="1"/>
    <x:xf numFmtId="204" fontId="6" fillId="0" borderId="0" xfId="0" applyNumberFormat="1" applyFont="1" applyFill="1" applyBorder="1"/>
    <x:xf numFmtId="0" fontId="2" fillId="6" borderId="0" xfId="0" applyNumberFormat="1" applyFont="1" applyFill="1" applyBorder="1" applyAlignment="1">
      <x:alignment wrapText="1"/>
    </x:xf>
    <x:xf numFmtId="0" fontId="2" fillId="6" borderId="0" xfId="0" applyNumberFormat="1" applyFont="1" applyFill="1" applyBorder="1" applyAlignment="1">
      <x:alignment horizontal="center" wrapText="1"/>
    </x:xf>
    <x:xf numFmtId="0" fontId="5" fillId="7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202" fontId="3" fillId="4" borderId="0" xfId="0" applyNumberFormat="1" applyFont="1" applyFill="1" applyBorder="1"/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0" fontId="2" fillId="8" borderId="0" xfId="0" applyNumberFormat="1" applyFont="1" applyFill="1" applyBorder="1" applyAlignment="1">
      <x:alignment wrapText="1"/>
    </x:xf>
    <x:xf numFmtId="0" fontId="2" fillId="8" borderId="0" xfId="0" applyNumberFormat="1" applyFont="1" applyFill="1" applyBorder="1" applyAlignment="1">
      <x:alignment horizontal="center" wrapText="1"/>
    </x:xf>
    <x:xf numFmtId="0" fontId="5" fillId="9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0" fillId="10" borderId="0" xfId="0" applyNumberFormat="1" applyFont="1" applyFill="1" applyBorder="1"/>
    <x:xf numFmtId="0" fontId="2" fillId="10" borderId="0" xfId="0" applyNumberFormat="1" applyFont="1" applyFill="1" applyBorder="1"/>
    <x:xf numFmtId="0" fontId="2" fillId="10" borderId="0" xfId="0" applyNumberFormat="1" applyFont="1" applyFill="1" applyBorder="1" applyAlignment="1">
      <x:alignment wrapText="1"/>
    </x:xf>
    <x:xf numFmtId="0" fontId="2" fillId="10" borderId="0" xfId="0" applyNumberFormat="1" applyFont="1" applyFill="1" applyBorder="1" applyAlignment="1">
      <x:alignment horizontal="center" wrapText="1"/>
    </x:xf>
    <x:xf numFmtId="0" fontId="2" fillId="10" borderId="0" xfId="0" applyNumberFormat="1" applyFont="1" applyFill="1" applyBorder="1" applyAlignment="1">
      <x:alignment horizontal="center" vertical="center" wrapText="1"/>
    </x:xf>
    <x:xf numFmtId="0" fontId="5" fillId="11" borderId="0" xfId="0" applyNumberFormat="1" applyFont="1" applyFill="1" applyBorder="1" applyAlignment="1">
      <x:alignment wrapText="1"/>
    </x:xf>
    <x:xf numFmtId="0" fontId="0" fillId="11" borderId="0" xfId="0" applyNumberFormat="1" applyFont="1" applyFill="1" applyBorder="1"/>
    <x:xf numFmtId="0" fontId="5" fillId="11" borderId="0" xfId="0" applyNumberFormat="1" applyFont="1" applyFill="1" applyBorder="1"/>
  </x:cellXfs>
  <x:cellStyles count="1">
    <x:cellStyle name="Normal" xfId="0"/>
  </x:cellStyles>
  <x:dxfs count="2">
    <x:dxf>
      <x:font>
        <x:b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0e57efaf714862" /><Relationship Type="http://schemas.openxmlformats.org/officeDocument/2006/relationships/theme" Target="/xl/theme/theme1.xml" Id="R72f49631178b4e6d" /><Relationship Type="http://schemas.openxmlformats.org/officeDocument/2006/relationships/sharedStrings" Target="/xl/sharedStrings.xml" Id="R8c41a40bcf784fd8" /><Relationship Type="http://schemas.openxmlformats.org/officeDocument/2006/relationships/worksheet" Target="/xl/worksheets/sheet1.xml" Id="Rb4b221ede9534035" /><Relationship Type="http://schemas.openxmlformats.org/officeDocument/2006/relationships/worksheet" Target="/xl/worksheets/sheet2.xml" Id="R5127cb92264c4623" /><Relationship Type="http://schemas.openxmlformats.org/officeDocument/2006/relationships/worksheet" Target="/xl/worksheets/sheet3.xml" Id="R39be9a6df2864ef8" /><Relationship Type="http://schemas.openxmlformats.org/officeDocument/2006/relationships/worksheet" Target="/xl/worksheets/sheet4.xml" Id="R46e56b0a73b74bbe" /><Relationship Type="http://schemas.openxmlformats.org/officeDocument/2006/relationships/worksheet" Target="/xl/worksheets/sheet5.xml" Id="Rd74ff3859475427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e49f32fb494463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Late Accounts by Ageing Bucket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Account Count</c:v>
          </c:tx>
          <c:cat>
            <c:strRef>
              <c:f>'Reports'!$A$9:$A$12</c:f>
              <c:strCache>
                <c:ptCount val="0"/>
              </c:strCache>
            </c:strRef>
          </c:cat>
          <c:val>
            <c:numRef>
              <c:f>'Reports'!$B$9:$B$12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8</xdr:row>
      <xdr:rowOff>0</xdr:rowOff>
    </xdr:from>
    <xdr:to>
      <xdr:col>14</xdr:col>
      <xdr:colOff>0</xdr:colOff>
      <xdr:row>23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e49f32fb4944639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POBaseTable" displayName="POBaseTable" ref="A3:K19" headerRowCount="1" totalsRowCount="0" totalsRowShown="0">
  <x:tableColumns count="11">
    <x:tableColumn id="1" name="Product"/>
    <x:tableColumn id="2" name="Loan Amount"/>
    <x:tableColumn id="3" name="Initiation Fee (once off)"/>
    <x:tableColumn id="4" name="Grade Rate"/>
    <x:tableColumn id="5" name="Interest on Capital calculated on a daily basis"/>
    <x:tableColumn id="6" name="Management Fee (drawing of legal documents - once off)"/>
    <x:tableColumn id="7" name="Total Interest"/>
    <x:tableColumn id="8" name="Total Capital + Interest = Total due to Funder"/>
    <x:tableColumn id="9" name="Risk Grade"/>
    <x:tableColumn id="10" name="Days Financed"/>
    <x:tableColumn id="11" name="Full Amount incl. Initiation &amp; Management Fe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hortTermBaseTable" displayName="ShortTermBaseTable" ref="A3:K51" headerRowCount="1" totalsRowCount="0" totalsRowShown="0">
  <x:tableColumns count="11">
    <x:tableColumn id="1" name="Product"/>
    <x:tableColumn id="2" name="Loan Amount"/>
    <x:tableColumn id="3" name="Initiation Fee (once off)"/>
    <x:tableColumn id="4" name="Grade Rate"/>
    <x:tableColumn id="5" name="Interest on Capital calculated on a daily basis"/>
    <x:tableColumn id="6" name="Management Fee (drawing of legal documents - once off)"/>
    <x:tableColumn id="7" name="Total Interest"/>
    <x:tableColumn id="8" name="Total Capital + Interest = Total due to Funder"/>
    <x:tableColumn id="9" name="Risk Grade"/>
    <x:tableColumn id="10" name="Days Financed"/>
    <x:tableColumn id="11" name="Full Amount incl. Initiation &amp; Management Fe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ateScenarioTable" displayName="LateScenarioTable" ref="A4:Q260" headerRowCount="1" totalsRowCount="0" totalsRowShown="0">
  <x:tableColumns count="17">
    <x:tableColumn id="1" name="Product"/>
    <x:tableColumn id="2" name="Loan Amount"/>
    <x:tableColumn id="3" name="Initiation Fee (once off)"/>
    <x:tableColumn id="4" name="Grade Rate"/>
    <x:tableColumn id="5" name="Interest on Capital calculated on a daily basis"/>
    <x:tableColumn id="6" name="Management Fee (once off)"/>
    <x:tableColumn id="7" name="Ageing Bucket"/>
    <x:tableColumn id="8" name="Days Late"/>
    <x:tableColumn id="9" name="Penalty Months"/>
    <x:tableColumn id="10" name="Penalty after 30 days"/>
    <x:tableColumn id="11" name="Total Interest"/>
    <x:tableColumn id="12" name="Capital + Interest + Penalty = Total due to Funder"/>
    <x:tableColumn id="13" name="Risk Grade"/>
    <x:tableColumn id="14" name="Days Financed"/>
    <x:tableColumn id="15" name="Interest Rate p.a."/>
    <x:tableColumn id="16" name="Full Amount incl. Fees"/>
    <x:tableColumn id="17" name="Product Behaviou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b62de0e3f6442e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27783f1b1394d1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dbd945bc9b54cf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1.xml" Id="R7f5be7804a504c8a" /></Relationships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45" hidden="0" customWidth="1"/>
    <x:col min="4" max="4" width="56" hidden="0" customWidth="1"/>
    <x:col min="6" max="6" width="25" hidden="0" customWidth="1"/>
    <x:col min="7" max="7" width="18" hidden="0" customWidth="1"/>
    <x:col min="8" max="8" width="48" hidden="0" customWidth="1"/>
  </x:cols>
  <x:sheetData>
    <x:row r="1">
      <x:c r="A1" s="5" t="str">
        <x:v>PRDF Credit Pricing &amp; Product Assumptions</x:v>
      </x:c>
      <x:c r="B1" s="5"/>
      <x:c r="C1" s="5"/>
      <x:c r="D1" s="5"/>
      <x:c r="E1" s="5"/>
      <x:c r="F1" s="5"/>
      <x:c r="G1" s="5"/>
      <x:c r="H1" s="5"/>
    </x:row>
    <x:row r="3">
      <x:c r="A3" s="14" t="str">
        <x:v>Risk Grade</x:v>
      </x:c>
      <x:c r="B3" s="14" t="str">
        <x:v>Margin Above Prime</x:v>
      </x:c>
      <x:c r="C3" s="14" t="str">
        <x:v>Total Rate</x:v>
      </x:c>
      <x:c r="D3" s="14" t="str">
        <x:v>Credit Behaviour / Criteria</x:v>
      </x:c>
      <x:c r="F3" s="14" t="str">
        <x:v>Pricing / Policy Input</x:v>
      </x:c>
      <x:c r="G3" s="14" t="str">
        <x:v>Value</x:v>
      </x:c>
      <x:c r="H3" s="14" t="str">
        <x:v>Note</x:v>
      </x:c>
    </x:row>
    <x:row r="4">
      <x:c r="A4" t="str">
        <x:v>Low Risk</x:v>
      </x:c>
      <x:c r="B4" s="22" t="n">
        <x:v>0.05</x:v>
      </x:c>
      <x:c r="C4" s="24" t="n">
        <x:f>$G$4+B4</x:f>
        <x:v>0.155</x:v>
      </x:c>
      <x:c r="D4" s="26" t="str">
        <x:v>Good Business Track Record; Bad business behaviour on bank statements; Profitable; clean records</x:v>
      </x:c>
      <x:c r="F4" t="str">
        <x:v>Prime Rate</x:v>
      </x:c>
      <x:c r="G4" s="22" t="n">
        <x:v>0.105</x:v>
      </x:c>
      <x:c r="H4" t="str">
        <x:v>Editable benchmark rate</x:v>
      </x:c>
    </x:row>
    <x:row r="5">
      <x:c r="A5" t="str">
        <x:v>Moderate Risk</x:v>
      </x:c>
      <x:c r="B5" s="22" t="n">
        <x:v>0.065</x:v>
      </x:c>
      <x:c r="C5" s="24" t="n">
        <x:f>$G$4+B5</x:f>
        <x:v>0.16999999999999998</x:v>
      </x:c>
      <x:c r="D5" s="26" t="str">
        <x:v>Good Business Track Record; Bad business behaviour on bank statements; Profitable; no clean records on ITC</x:v>
      </x:c>
      <x:c r="F5" t="str">
        <x:v>Initiation Fee</x:v>
      </x:c>
      <x:c r="G5" s="59" t="n">
        <x:v>1000</x:v>
      </x:c>
      <x:c r="H5" t="str">
        <x:v>Flat R1,000 once-off fee</x:v>
      </x:c>
    </x:row>
    <x:row r="6">
      <x:c r="A6" t="str">
        <x:v>High Risk</x:v>
      </x:c>
      <x:c r="B6" s="22" t="n">
        <x:v>0.085</x:v>
      </x:c>
      <x:c r="C6" s="24" t="n">
        <x:f>$G$4+B6</x:f>
        <x:v>0.19</x:v>
      </x:c>
      <x:c r="D6" s="26" t="str">
        <x:v>Good Business Track Record; Bad business behaviour on bank statements; Profitable; on ITC records</x:v>
      </x:c>
      <x:c r="F6" t="str">
        <x:v>Management Fee</x:v>
      </x:c>
      <x:c r="G6" s="22" t="n">
        <x:v>0.03</x:v>
      </x:c>
      <x:c r="H6" t="str">
        <x:v>Once off - drawing of legal documents</x:v>
      </x:c>
    </x:row>
    <x:row r="7">
      <x:c r="A7" t="str">
        <x:v>Worst Scenario</x:v>
      </x:c>
      <x:c r="B7" s="22" t="n">
        <x:v>0.105</x:v>
      </x:c>
      <x:c r="C7" s="24" t="n">
        <x:f>$G$4+B7</x:f>
        <x:v>0.21</x:v>
      </x:c>
      <x:c r="D7" s="26" t="str">
        <x:v>Good Business Track Record; Bad business behaviour on bank statements; Profitable; with Judgement</x:v>
      </x:c>
      <x:c r="F7" t="str">
        <x:v>Late Penalty Fee</x:v>
      </x:c>
      <x:c r="G7" s="22" t="n">
        <x:v>0.02</x:v>
      </x:c>
      <x:c r="H7" t="str">
        <x:v>Recurring monthly only after 30 days overdue</x:v>
      </x:c>
    </x:row>
    <x:row r="8">
      <x:c r="F8" t="str">
        <x:v>Days per Year</x:v>
      </x:c>
      <x:c r="G8" s="32" t="n">
        <x:v>365</x:v>
      </x:c>
      <x:c r="H8" t="str">
        <x:v>Daily interest basis</x:v>
      </x:c>
    </x:row>
    <x:row r="9">
      <x:c r="F9" t="str">
        <x:v>PO Minimum</x:v>
      </x:c>
      <x:c r="G9" s="33" t="n">
        <x:v>250000</x:v>
      </x:c>
      <x:c r="H9" t="str">
        <x:v>R250,000</x:v>
      </x:c>
    </x:row>
    <x:row r="10">
      <x:c r="A10" s="61" t="str">
        <x:v>Worked LMS Example</x:v>
      </x:c>
      <x:c r="B10" s="61" t="str">
        <x:v>Value</x:v>
      </x:c>
      <x:c r="C10" s="61" t="str">
        <x:v>Formula / Basis</x:v>
      </x:c>
      <x:c r="D10" s="61" t="str">
        <x:v>Result</x:v>
      </x:c>
      <x:c r="F10" t="str">
        <x:v>PO Maximum</x:v>
      </x:c>
      <x:c r="G10" s="33" t="n">
        <x:v>500000</x:v>
      </x:c>
      <x:c r="H10" t="str">
        <x:v>R500,000</x:v>
      </x:c>
    </x:row>
    <x:row r="11">
      <x:c r="A11" t="str">
        <x:v>Principal</x:v>
      </x:c>
      <x:c r="B11" s="30" t="n">
        <x:v>250000</x:v>
      </x:c>
      <x:c r="C11" t="str">
        <x:v>Input</x:v>
      </x:c>
      <x:c r="D11" t="str"/>
      <x:c r="F11" t="str">
        <x:v>Short Term Minimum</x:v>
      </x:c>
      <x:c r="G11" s="33" t="n">
        <x:v>500000</x:v>
      </x:c>
      <x:c r="H11" t="str">
        <x:v>R500,000</x:v>
      </x:c>
    </x:row>
    <x:row r="12">
      <x:c r="A12" t="str">
        <x:v>Annual Rate</x:v>
      </x:c>
      <x:c r="B12" s="20" t="n">
        <x:v>0.155</x:v>
      </x:c>
      <x:c r="C12" t="str">
        <x:v>Input</x:v>
      </x:c>
      <x:c r="D12" t="str"/>
      <x:c r="F12" t="str">
        <x:v>Short Term Maximum</x:v>
      </x:c>
      <x:c r="G12" s="33" t="n">
        <x:v>1000000</x:v>
      </x:c>
      <x:c r="H12" t="str">
        <x:v>R1,000,000</x:v>
      </x:c>
    </x:row>
    <x:row r="13">
      <x:c r="A13" t="str">
        <x:v>Days</x:v>
      </x:c>
      <x:c r="B13" s="52" t="n">
        <x:v>30</x:v>
      </x:c>
      <x:c r="C13" t="str">
        <x:v>Input</x:v>
      </x:c>
      <x:c r="D13" t="str"/>
      <x:c r="F13" t="str">
        <x:v>PO Standard Funding Days</x:v>
      </x:c>
      <x:c r="G13" s="32" t="n">
        <x:v>90</x:v>
      </x:c>
      <x:c r="H13" t="str">
        <x:v>3 months</x:v>
      </x:c>
    </x:row>
    <x:row r="14">
      <x:c r="A14" t="str">
        <x:v>Interest</x:v>
      </x:c>
      <x:c r="B14" s="30" t="n">
        <x:f>B11*B12/365*B13</x:f>
        <x:v>3184.931506849315</x:v>
      </x:c>
      <x:c r="C14" t="str">
        <x:v>Principal × Rate ÷ 365 × Days</x:v>
      </x:c>
      <x:c r="D14" s="30" t="n">
        <x:f>B14</x:f>
        <x:v>3184.931506849315</x:v>
      </x:c>
    </x:row>
    <x:row r="15">
      <x:c r="A15" t="str">
        <x:v>Principal + Interest</x:v>
      </x:c>
      <x:c r="B15" s="30" t="n">
        <x:f>B11+B14</x:f>
        <x:v>253184.9315068493</x:v>
      </x:c>
      <x:c r="C15" t="str">
        <x:v>P + Interest</x:v>
      </x:c>
      <x:c r="D15" s="30" t="n">
        <x:f>B15</x:f>
        <x:v>253184.9315068493</x:v>
      </x:c>
      <x:c r="F15" s="49" t="str">
        <x:v>Late Ageing Bucket</x:v>
      </x:c>
      <x:c r="G15" s="49" t="str">
        <x:v>Penalty % Accrued</x:v>
      </x:c>
      <x:c r="H15" s="49" t="str">
        <x:v>Rule</x:v>
      </x:c>
    </x:row>
    <x:row r="16">
      <x:c r="A16" t="str">
        <x:v>Penalty Rate</x:v>
      </x:c>
      <x:c r="B16" s="20" t="n">
        <x:v>0.02</x:v>
      </x:c>
      <x:c r="C16" t="str">
        <x:v>2% per 30 days</x:v>
      </x:c>
      <x:c r="D16" s="30"/>
      <x:c r="F16" t="str">
        <x:v>30 Days</x:v>
      </x:c>
      <x:c r="G16" s="20" t="n">
        <x:v>0.02</x:v>
      </x:c>
      <x:c r="H16" t="str">
        <x:v>2% monthly penalty accrued daily: 2% ÷ 30 × 30 days</x:v>
      </x:c>
    </x:row>
    <x:row r="17">
      <x:c r="A17" t="str">
        <x:v>Penalty</x:v>
      </x:c>
      <x:c r="B17" s="30" t="n">
        <x:f>B15*B16*(B13/30)</x:f>
        <x:v>5063.698630136986</x:v>
      </x:c>
      <x:c r="C17" t="str">
        <x:v>(P + Interest) × 2% × Days ÷ 30</x:v>
      </x:c>
      <x:c r="D17" s="30" t="n">
        <x:f>B17</x:f>
        <x:v>5063.698630136986</x:v>
      </x:c>
      <x:c r="F17" t="str">
        <x:v>60 Days</x:v>
      </x:c>
      <x:c r="G17" s="20" t="n">
        <x:v>0.04</x:v>
      </x:c>
      <x:c r="H17" t="str">
        <x:v>2% monthly penalty accrued daily: 2% ÷ 30 × 60 days</x:v>
      </x:c>
    </x:row>
    <x:row r="18">
      <x:c r="A18" t="str">
        <x:v>Initiation Fee</x:v>
      </x:c>
      <x:c r="B18" s="30" t="n">
        <x:v>1000</x:v>
      </x:c>
      <x:c r="C18" t="str">
        <x:v>Flat once-off</x:v>
      </x:c>
      <x:c r="F18" t="str">
        <x:v>90 Days</x:v>
      </x:c>
      <x:c r="G18" s="20" t="n">
        <x:v>0.06</x:v>
      </x:c>
      <x:c r="H18" t="str">
        <x:v>2% monthly penalty accrued daily: 2% ÷ 30 × 90 days</x:v>
      </x:c>
    </x:row>
    <x:row r="19">
      <x:c r="F19" t="str">
        <x:v>120 Days</x:v>
      </x:c>
      <x:c r="G19" s="20" t="n">
        <x:v>0.08</x:v>
      </x:c>
      <x:c r="H19" t="str">
        <x:v>2% monthly penalty accrued daily: 2% ÷ 30 × 120 days</x:v>
      </x:c>
    </x:row>
    <x:row r="20">
      <x:c r="A20" s="61" t="str">
        <x:v>Worked Example Totals</x:v>
      </x:c>
      <x:c r="B20" s="61" t="str"/>
      <x:c r="C20" s="61" t="str"/>
    </x:row>
    <x:row r="21">
      <x:c r="A21" t="str">
        <x:v>Loan without once-off fees</x:v>
      </x:c>
      <x:c r="B21" s="30" t="n">
        <x:f>B11+B14+B17</x:f>
        <x:v>258248.6301369863</x:v>
      </x:c>
      <x:c r="C21" t="str">
        <x:v>Principal + Interest + Penalty</x:v>
      </x:c>
      <x:c r="F21" s="51" t="str">
        <x:v>Daily Late-Payment Breakdown</x:v>
      </x:c>
      <x:c r="G21" s="51" t="str">
        <x:v>Value</x:v>
      </x:c>
      <x:c r="H21" s="51" t="str">
        <x:v>Explanation</x:v>
      </x:c>
    </x:row>
    <x:row r="22">
      <x:c r="A22" t="str">
        <x:v>Total Revenue / Money Earned from Client</x:v>
      </x:c>
      <x:c r="B22" s="30" t="n">
        <x:f>B14+B17+B18+(B11*$G$6)</x:f>
        <x:v>16748.6301369863</x:v>
      </x:c>
      <x:c r="C22" t="str">
        <x:v>Interest + Penalty + Initiation Fee + Management Fee</x:v>
      </x:c>
      <x:c r="F22" t="str">
        <x:v>Monthly Penalty Rate</x:v>
      </x:c>
      <x:c r="G22" s="22" t="n">
        <x:v>0.02</x:v>
      </x:c>
      <x:c r="H22" t="str">
        <x:v>Recurring monthly penalty assumption</x:v>
      </x:c>
    </x:row>
    <x:row r="23">
      <x:c r="A23" t="str">
        <x:v>Final Amount incl. all fees</x:v>
      </x:c>
      <x:c r="B23" s="30" t="n">
        <x:f>B11+B22</x:f>
        <x:v>266748.6301369863</x:v>
      </x:c>
      <x:c r="C23" t="str">
        <x:v>Capital + Total Charges</x:v>
      </x:c>
      <x:c r="F23" t="str">
        <x:v>Daily Penalty Rate</x:v>
      </x:c>
      <x:c r="G23" s="53" t="n">
        <x:f>G22/30</x:f>
        <x:v>0.0006666666666666666</x:v>
      </x:c>
      <x:c r="H23" t="str">
        <x:v>Monthly penalty ÷ 30 days</x:v>
      </x:c>
    </x:row>
    <x:row r="25">
      <x:c r="F25" s="68" t="str">
        <x:v>Worked Example Income</x:v>
      </x:c>
      <x:c r="G25" s="68" t="str">
        <x:v>Amount</x:v>
      </x:c>
      <x:c r="H25" s="68" t="str">
        <x:v>Included in Revenue</x:v>
      </x:c>
    </x:row>
    <x:row r="26">
      <x:c r="F26" t="str">
        <x:v>Interest Earned</x:v>
      </x:c>
      <x:c r="G26" s="30" t="n">
        <x:f>B14</x:f>
        <x:v>3184.931506849315</x:v>
      </x:c>
      <x:c r="H26" t="str">
        <x:v>Yes</x:v>
      </x:c>
    </x:row>
    <x:row r="27">
      <x:c r="F27" t="str">
        <x:v>Initiation Fee Earned</x:v>
      </x:c>
      <x:c r="G27" s="30" t="n">
        <x:f>B18</x:f>
        <x:v>1000</x:v>
      </x:c>
      <x:c r="H27" t="str">
        <x:v>Yes</x:v>
      </x:c>
    </x:row>
    <x:row r="28">
      <x:c r="F28" t="str">
        <x:v>Management Fee Earned</x:v>
      </x:c>
      <x:c r="G28" s="30" t="n">
        <x:f>B11*$G$6</x:f>
        <x:v>7500</x:v>
      </x:c>
      <x:c r="H28" t="str">
        <x:v>Yes</x:v>
      </x:c>
    </x:row>
    <x:row r="29">
      <x:c r="F29" t="str">
        <x:v>Penalty Income</x:v>
      </x:c>
      <x:c r="G29" s="30" t="n">
        <x:f>B17</x:f>
        <x:v>5063.698630136986</x:v>
      </x:c>
      <x:c r="H29" t="str">
        <x:v>Yes</x:v>
      </x:c>
    </x:row>
    <x:row r="30">
      <x:c r="F30" t="str">
        <x:v>Total Revenue / Money Earned</x:v>
      </x:c>
      <x:c r="G30" s="30" t="n">
        <x:f>SUM(G26:G29)</x:f>
        <x:v>16748.630136986303</x:v>
      </x:c>
      <x:c r="H30" t="str">
        <x:v>Yes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16" hidden="0" customWidth="1"/>
    <x:col min="3" max="3" width="19" hidden="0" customWidth="1"/>
    <x:col min="4" max="4" width="14" hidden="0" customWidth="1"/>
    <x:col min="5" max="5" width="28" hidden="0" customWidth="1"/>
    <x:col min="6" max="6" width="28" hidden="0" customWidth="1"/>
    <x:col min="7" max="7" width="18" hidden="0" customWidth="1"/>
    <x:col min="8" max="8" width="25" hidden="0" customWidth="1"/>
    <x:col min="9" max="9" width="18" hidden="0" customWidth="1"/>
    <x:col min="10" max="10" width="14" hidden="0" customWidth="1"/>
    <x:col min="11" max="11" width="24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</x:cols>
  <x:sheetData>
    <x:row r="1">
      <x:c r="A1" s="5" t="str">
        <x:v>Purchase Order Funding – Base Scenarios (No Late-Payment Calculations)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</x:row>
    <x:row r="3">
      <x:c r="A3" s="14" t="str">
        <x:v>Product</x:v>
      </x:c>
      <x:c r="B3" s="14" t="str">
        <x:v>Loan Amount</x:v>
      </x:c>
      <x:c r="C3" s="14" t="str">
        <x:v>Initiation Fee (once off)</x:v>
      </x:c>
      <x:c r="D3" s="14" t="str">
        <x:v>Grade Rate</x:v>
      </x:c>
      <x:c r="E3" s="14" t="str">
        <x:v>Interest on Capital calculated on a daily basis</x:v>
      </x:c>
      <x:c r="F3" s="14" t="str">
        <x:v>Management Fee (drawing of legal documents - once off)</x:v>
      </x:c>
      <x:c r="G3" s="14" t="str">
        <x:v>Total Interest</x:v>
      </x:c>
      <x:c r="H3" s="14" t="str">
        <x:v>Total Capital + Interest = Total due to Funder</x:v>
      </x:c>
      <x:c r="I3" s="14" t="str">
        <x:v>Risk Grade</x:v>
      </x:c>
      <x:c r="J3" s="14" t="str">
        <x:v>Days Financed</x:v>
      </x:c>
      <x:c r="K3" s="14" t="str">
        <x:v>Full Amount incl. Initiation &amp; Management Fees</x:v>
      </x:c>
      <x:c r="L3" s="71" t="str">
        <x:v>Interest Earned</x:v>
      </x:c>
      <x:c r="M3" s="71" t="str">
        <x:v>Initiation Fee Earned</x:v>
      </x:c>
      <x:c r="N3" s="71" t="str">
        <x:v>Management Fee Earned</x:v>
      </x:c>
      <x:c r="O3" s="71" t="str">
        <x:v>Total Revenue / Money Earned from Client</x:v>
      </x:c>
    </x:row>
    <x:row r="4">
      <x:c r="A4" t="str">
        <x:v>Purchase Order Funding</x:v>
      </x:c>
      <x:c r="B4" s="33" t="n">
        <x:v>250000</x:v>
      </x:c>
      <x:c r="C4" s="30" t="n">
        <x:f>Inputs!$G$5</x:f>
        <x:v>1000</x:v>
      </x:c>
      <x:c r="D4" s="20" t="n">
        <x:f>Inputs!$G$4+VLOOKUP(I4,Inputs!$A$4:$B$7,2,FALSE)</x:f>
        <x:v>0.155</x:v>
      </x:c>
      <x:c r="E4" s="30" t="n">
        <x:f>B4*D4*J4/Inputs!$G$8</x:f>
        <x:v>9554.794520547945</x:v>
      </x:c>
      <x:c r="F4" s="30" t="n">
        <x:f>B4*Inputs!$G$6</x:f>
        <x:v>7500</x:v>
      </x:c>
      <x:c r="G4" s="30" t="n">
        <x:f>E4</x:f>
        <x:v>9554.794520547945</x:v>
      </x:c>
      <x:c r="H4" s="30" t="n">
        <x:f>B4+E4</x:f>
        <x:v>259554.79452054793</x:v>
      </x:c>
      <x:c r="I4" s="40" t="str">
        <x:v>Low Risk</x:v>
      </x:c>
      <x:c r="J4" s="32" t="n">
        <x:v>90</x:v>
      </x:c>
      <x:c r="K4" s="30" t="n">
        <x:f>B4+C4+E4+F4</x:f>
        <x:v>268054.79452054796</x:v>
      </x:c>
      <x:c r="L4" s="30" t="n">
        <x:f>E4</x:f>
        <x:v>9554.794520547945</x:v>
      </x:c>
      <x:c r="M4" s="30" t="n">
        <x:f>C4</x:f>
        <x:v>1000</x:v>
      </x:c>
      <x:c r="N4" s="30" t="n">
        <x:f>F4</x:f>
        <x:v>7500</x:v>
      </x:c>
      <x:c r="O4" s="30" t="n">
        <x:f>SUM(L4:N4)</x:f>
        <x:v>18054.794520547945</x:v>
      </x:c>
    </x:row>
    <x:row r="5">
      <x:c r="A5" t="str">
        <x:v>Purchase Order Funding</x:v>
      </x:c>
      <x:c r="B5" s="33" t="n">
        <x:v>250000</x:v>
      </x:c>
      <x:c r="C5" s="30" t="n">
        <x:f>Inputs!$G$5</x:f>
        <x:v>1000</x:v>
      </x:c>
      <x:c r="D5" s="20" t="n">
        <x:f>Inputs!$G$4+VLOOKUP(I5,Inputs!$A$4:$B$7,2,FALSE)</x:f>
        <x:v>0.16999999999999998</x:v>
      </x:c>
      <x:c r="E5" s="30" t="n">
        <x:f>B5*D5*J5/Inputs!$G$8</x:f>
        <x:v>10479.45205479452</x:v>
      </x:c>
      <x:c r="F5" s="30" t="n">
        <x:f>B5*Inputs!$G$6</x:f>
        <x:v>7500</x:v>
      </x:c>
      <x:c r="G5" s="30" t="n">
        <x:f>E5</x:f>
        <x:v>10479.45205479452</x:v>
      </x:c>
      <x:c r="H5" s="30" t="n">
        <x:f>B5+E5</x:f>
        <x:v>260479.45205479453</x:v>
      </x:c>
      <x:c r="I5" s="40" t="str">
        <x:v>Moderate Risk</x:v>
      </x:c>
      <x:c r="J5" s="32" t="n">
        <x:v>90</x:v>
      </x:c>
      <x:c r="K5" s="30" t="n">
        <x:f>B5+C5+E5+F5</x:f>
        <x:v>268979.4520547945</x:v>
      </x:c>
      <x:c r="L5" s="30" t="n">
        <x:f>E5</x:f>
        <x:v>10479.45205479452</x:v>
      </x:c>
      <x:c r="M5" s="30" t="n">
        <x:f>C5</x:f>
        <x:v>1000</x:v>
      </x:c>
      <x:c r="N5" s="30" t="n">
        <x:f>F5</x:f>
        <x:v>7500</x:v>
      </x:c>
      <x:c r="O5" s="30" t="n">
        <x:f>SUM(L5:N5)</x:f>
        <x:v>18979.45205479452</x:v>
      </x:c>
    </x:row>
    <x:row r="6">
      <x:c r="A6" t="str">
        <x:v>Purchase Order Funding</x:v>
      </x:c>
      <x:c r="B6" s="33" t="n">
        <x:v>250000</x:v>
      </x:c>
      <x:c r="C6" s="30" t="n">
        <x:f>Inputs!$G$5</x:f>
        <x:v>1000</x:v>
      </x:c>
      <x:c r="D6" s="20" t="n">
        <x:f>Inputs!$G$4+VLOOKUP(I6,Inputs!$A$4:$B$7,2,FALSE)</x:f>
        <x:v>0.19</x:v>
      </x:c>
      <x:c r="E6" s="30" t="n">
        <x:f>B6*D6*J6/Inputs!$G$8</x:f>
        <x:v>11712.328767123288</x:v>
      </x:c>
      <x:c r="F6" s="30" t="n">
        <x:f>B6*Inputs!$G$6</x:f>
        <x:v>7500</x:v>
      </x:c>
      <x:c r="G6" s="30" t="n">
        <x:f>E6</x:f>
        <x:v>11712.328767123288</x:v>
      </x:c>
      <x:c r="H6" s="30" t="n">
        <x:f>B6+E6</x:f>
        <x:v>261712.32876712328</x:v>
      </x:c>
      <x:c r="I6" s="40" t="str">
        <x:v>High Risk</x:v>
      </x:c>
      <x:c r="J6" s="32" t="n">
        <x:v>90</x:v>
      </x:c>
      <x:c r="K6" s="30" t="n">
        <x:f>B6+C6+E6+F6</x:f>
        <x:v>270212.3287671233</x:v>
      </x:c>
      <x:c r="L6" s="30" t="n">
        <x:f>E6</x:f>
        <x:v>11712.328767123288</x:v>
      </x:c>
      <x:c r="M6" s="30" t="n">
        <x:f>C6</x:f>
        <x:v>1000</x:v>
      </x:c>
      <x:c r="N6" s="30" t="n">
        <x:f>F6</x:f>
        <x:v>7500</x:v>
      </x:c>
      <x:c r="O6" s="30" t="n">
        <x:f>SUM(L6:N6)</x:f>
        <x:v>20212.32876712329</x:v>
      </x:c>
    </x:row>
    <x:row r="7">
      <x:c r="A7" t="str">
        <x:v>Purchase Order Funding</x:v>
      </x:c>
      <x:c r="B7" s="33" t="n">
        <x:v>250000</x:v>
      </x:c>
      <x:c r="C7" s="30" t="n">
        <x:f>Inputs!$G$5</x:f>
        <x:v>1000</x:v>
      </x:c>
      <x:c r="D7" s="20" t="n">
        <x:f>Inputs!$G$4+VLOOKUP(I7,Inputs!$A$4:$B$7,2,FALSE)</x:f>
        <x:v>0.21</x:v>
      </x:c>
      <x:c r="E7" s="30" t="n">
        <x:f>B7*D7*J7/Inputs!$G$8</x:f>
        <x:v>12945.205479452055</x:v>
      </x:c>
      <x:c r="F7" s="30" t="n">
        <x:f>B7*Inputs!$G$6</x:f>
        <x:v>7500</x:v>
      </x:c>
      <x:c r="G7" s="30" t="n">
        <x:f>E7</x:f>
        <x:v>12945.205479452055</x:v>
      </x:c>
      <x:c r="H7" s="30" t="n">
        <x:f>B7+E7</x:f>
        <x:v>262945.20547945204</x:v>
      </x:c>
      <x:c r="I7" s="40" t="str">
        <x:v>Worst Scenario</x:v>
      </x:c>
      <x:c r="J7" s="32" t="n">
        <x:v>90</x:v>
      </x:c>
      <x:c r="K7" s="30" t="n">
        <x:f>B7+C7+E7+F7</x:f>
        <x:v>271445.20547945204</x:v>
      </x:c>
      <x:c r="L7" s="30" t="n">
        <x:f>E7</x:f>
        <x:v>12945.205479452055</x:v>
      </x:c>
      <x:c r="M7" s="30" t="n">
        <x:f>C7</x:f>
        <x:v>1000</x:v>
      </x:c>
      <x:c r="N7" s="30" t="n">
        <x:f>F7</x:f>
        <x:v>7500</x:v>
      </x:c>
      <x:c r="O7" s="30" t="n">
        <x:f>SUM(L7:N7)</x:f>
        <x:v>21445.205479452055</x:v>
      </x:c>
    </x:row>
    <x:row r="8">
      <x:c r="A8" t="str">
        <x:v>Purchase Order Funding</x:v>
      </x:c>
      <x:c r="B8" s="33" t="n">
        <x:v>300000</x:v>
      </x:c>
      <x:c r="C8" s="30" t="n">
        <x:f>Inputs!$G$5</x:f>
        <x:v>1000</x:v>
      </x:c>
      <x:c r="D8" s="20" t="n">
        <x:f>Inputs!$G$4+VLOOKUP(I8,Inputs!$A$4:$B$7,2,FALSE)</x:f>
        <x:v>0.155</x:v>
      </x:c>
      <x:c r="E8" s="30" t="n">
        <x:f>B8*D8*J8/Inputs!$G$8</x:f>
        <x:v>11465.753424657534</x:v>
      </x:c>
      <x:c r="F8" s="30" t="n">
        <x:f>B8*Inputs!$G$6</x:f>
        <x:v>9000</x:v>
      </x:c>
      <x:c r="G8" s="30" t="n">
        <x:f>E8</x:f>
        <x:v>11465.753424657534</x:v>
      </x:c>
      <x:c r="H8" s="30" t="n">
        <x:f>B8+E8</x:f>
        <x:v>311465.7534246575</x:v>
      </x:c>
      <x:c r="I8" s="40" t="str">
        <x:v>Low Risk</x:v>
      </x:c>
      <x:c r="J8" s="32" t="n">
        <x:v>90</x:v>
      </x:c>
      <x:c r="K8" s="30" t="n">
        <x:f>B8+C8+E8+F8</x:f>
        <x:v>321465.7534246575</x:v>
      </x:c>
      <x:c r="L8" s="30" t="n">
        <x:f>E8</x:f>
        <x:v>11465.753424657534</x:v>
      </x:c>
      <x:c r="M8" s="30" t="n">
        <x:f>C8</x:f>
        <x:v>1000</x:v>
      </x:c>
      <x:c r="N8" s="30" t="n">
        <x:f>F8</x:f>
        <x:v>9000</x:v>
      </x:c>
      <x:c r="O8" s="30" t="n">
        <x:f>SUM(L8:N8)</x:f>
        <x:v>21465.753424657534</x:v>
      </x:c>
    </x:row>
    <x:row r="9">
      <x:c r="A9" t="str">
        <x:v>Purchase Order Funding</x:v>
      </x:c>
      <x:c r="B9" s="33" t="n">
        <x:v>300000</x:v>
      </x:c>
      <x:c r="C9" s="30" t="n">
        <x:f>Inputs!$G$5</x:f>
        <x:v>1000</x:v>
      </x:c>
      <x:c r="D9" s="20" t="n">
        <x:f>Inputs!$G$4+VLOOKUP(I9,Inputs!$A$4:$B$7,2,FALSE)</x:f>
        <x:v>0.16999999999999998</x:v>
      </x:c>
      <x:c r="E9" s="30" t="n">
        <x:f>B9*D9*J9/Inputs!$G$8</x:f>
        <x:v>12575.342465753421</x:v>
      </x:c>
      <x:c r="F9" s="30" t="n">
        <x:f>B9*Inputs!$G$6</x:f>
        <x:v>9000</x:v>
      </x:c>
      <x:c r="G9" s="30" t="n">
        <x:f>E9</x:f>
        <x:v>12575.342465753421</x:v>
      </x:c>
      <x:c r="H9" s="30" t="n">
        <x:f>B9+E9</x:f>
        <x:v>312575.34246575343</x:v>
      </x:c>
      <x:c r="I9" s="40" t="str">
        <x:v>Moderate Risk</x:v>
      </x:c>
      <x:c r="J9" s="32" t="n">
        <x:v>90</x:v>
      </x:c>
      <x:c r="K9" s="30" t="n">
        <x:f>B9+C9+E9+F9</x:f>
        <x:v>322575.34246575343</x:v>
      </x:c>
      <x:c r="L9" s="30" t="n">
        <x:f>E9</x:f>
        <x:v>12575.342465753421</x:v>
      </x:c>
      <x:c r="M9" s="30" t="n">
        <x:f>C9</x:f>
        <x:v>1000</x:v>
      </x:c>
      <x:c r="N9" s="30" t="n">
        <x:f>F9</x:f>
        <x:v>9000</x:v>
      </x:c>
      <x:c r="O9" s="30" t="n">
        <x:f>SUM(L9:N9)</x:f>
        <x:v>22575.34246575342</x:v>
      </x:c>
    </x:row>
    <x:row r="10">
      <x:c r="A10" t="str">
        <x:v>Purchase Order Funding</x:v>
      </x:c>
      <x:c r="B10" s="33" t="n">
        <x:v>300000</x:v>
      </x:c>
      <x:c r="C10" s="30" t="n">
        <x:f>Inputs!$G$5</x:f>
        <x:v>1000</x:v>
      </x:c>
      <x:c r="D10" s="20" t="n">
        <x:f>Inputs!$G$4+VLOOKUP(I10,Inputs!$A$4:$B$7,2,FALSE)</x:f>
        <x:v>0.19</x:v>
      </x:c>
      <x:c r="E10" s="30" t="n">
        <x:f>B10*D10*J10/Inputs!$G$8</x:f>
        <x:v>14054.794520547945</x:v>
      </x:c>
      <x:c r="F10" s="30" t="n">
        <x:f>B10*Inputs!$G$6</x:f>
        <x:v>9000</x:v>
      </x:c>
      <x:c r="G10" s="30" t="n">
        <x:f>E10</x:f>
        <x:v>14054.794520547945</x:v>
      </x:c>
      <x:c r="H10" s="30" t="n">
        <x:f>B10+E10</x:f>
        <x:v>314054.79452054796</x:v>
      </x:c>
      <x:c r="I10" s="40" t="str">
        <x:v>High Risk</x:v>
      </x:c>
      <x:c r="J10" s="32" t="n">
        <x:v>90</x:v>
      </x:c>
      <x:c r="K10" s="30" t="n">
        <x:f>B10+C10+E10+F10</x:f>
        <x:v>324054.79452054796</x:v>
      </x:c>
      <x:c r="L10" s="30" t="n">
        <x:f>E10</x:f>
        <x:v>14054.794520547945</x:v>
      </x:c>
      <x:c r="M10" s="30" t="n">
        <x:f>C10</x:f>
        <x:v>1000</x:v>
      </x:c>
      <x:c r="N10" s="30" t="n">
        <x:f>F10</x:f>
        <x:v>9000</x:v>
      </x:c>
      <x:c r="O10" s="30" t="n">
        <x:f>SUM(L10:N10)</x:f>
        <x:v>24054.794520547945</x:v>
      </x:c>
    </x:row>
    <x:row r="11">
      <x:c r="A11" t="str">
        <x:v>Purchase Order Funding</x:v>
      </x:c>
      <x:c r="B11" s="33" t="n">
        <x:v>300000</x:v>
      </x:c>
      <x:c r="C11" s="30" t="n">
        <x:f>Inputs!$G$5</x:f>
        <x:v>1000</x:v>
      </x:c>
      <x:c r="D11" s="20" t="n">
        <x:f>Inputs!$G$4+VLOOKUP(I11,Inputs!$A$4:$B$7,2,FALSE)</x:f>
        <x:v>0.21</x:v>
      </x:c>
      <x:c r="E11" s="30" t="n">
        <x:f>B11*D11*J11/Inputs!$G$8</x:f>
        <x:v>15534.246575342466</x:v>
      </x:c>
      <x:c r="F11" s="30" t="n">
        <x:f>B11*Inputs!$G$6</x:f>
        <x:v>9000</x:v>
      </x:c>
      <x:c r="G11" s="30" t="n">
        <x:f>E11</x:f>
        <x:v>15534.246575342466</x:v>
      </x:c>
      <x:c r="H11" s="30" t="n">
        <x:f>B11+E11</x:f>
        <x:v>315534.2465753425</x:v>
      </x:c>
      <x:c r="I11" s="40" t="str">
        <x:v>Worst Scenario</x:v>
      </x:c>
      <x:c r="J11" s="32" t="n">
        <x:v>90</x:v>
      </x:c>
      <x:c r="K11" s="30" t="n">
        <x:f>B11+C11+E11+F11</x:f>
        <x:v>325534.2465753425</x:v>
      </x:c>
      <x:c r="L11" s="30" t="n">
        <x:f>E11</x:f>
        <x:v>15534.246575342466</x:v>
      </x:c>
      <x:c r="M11" s="30" t="n">
        <x:f>C11</x:f>
        <x:v>1000</x:v>
      </x:c>
      <x:c r="N11" s="30" t="n">
        <x:f>F11</x:f>
        <x:v>9000</x:v>
      </x:c>
      <x:c r="O11" s="30" t="n">
        <x:f>SUM(L11:N11)</x:f>
        <x:v>25534.246575342466</x:v>
      </x:c>
    </x:row>
    <x:row r="12">
      <x:c r="A12" t="str">
        <x:v>Purchase Order Funding</x:v>
      </x:c>
      <x:c r="B12" s="33" t="n">
        <x:v>400000</x:v>
      </x:c>
      <x:c r="C12" s="30" t="n">
        <x:f>Inputs!$G$5</x:f>
        <x:v>1000</x:v>
      </x:c>
      <x:c r="D12" s="20" t="n">
        <x:f>Inputs!$G$4+VLOOKUP(I12,Inputs!$A$4:$B$7,2,FALSE)</x:f>
        <x:v>0.155</x:v>
      </x:c>
      <x:c r="E12" s="30" t="n">
        <x:f>B12*D12*J12/Inputs!$G$8</x:f>
        <x:v>15287.671232876712</x:v>
      </x:c>
      <x:c r="F12" s="30" t="n">
        <x:f>B12*Inputs!$G$6</x:f>
        <x:v>12000</x:v>
      </x:c>
      <x:c r="G12" s="30" t="n">
        <x:f>E12</x:f>
        <x:v>15287.671232876712</x:v>
      </x:c>
      <x:c r="H12" s="30" t="n">
        <x:f>B12+E12</x:f>
        <x:v>415287.6712328767</x:v>
      </x:c>
      <x:c r="I12" s="40" t="str">
        <x:v>Low Risk</x:v>
      </x:c>
      <x:c r="J12" s="32" t="n">
        <x:v>90</x:v>
      </x:c>
      <x:c r="K12" s="30" t="n">
        <x:f>B12+C12+E12+F12</x:f>
        <x:v>428287.6712328767</x:v>
      </x:c>
      <x:c r="L12" s="30" t="n">
        <x:f>E12</x:f>
        <x:v>15287.671232876712</x:v>
      </x:c>
      <x:c r="M12" s="30" t="n">
        <x:f>C12</x:f>
        <x:v>1000</x:v>
      </x:c>
      <x:c r="N12" s="30" t="n">
        <x:f>F12</x:f>
        <x:v>12000</x:v>
      </x:c>
      <x:c r="O12" s="30" t="n">
        <x:f>SUM(L12:N12)</x:f>
        <x:v>28287.67123287671</x:v>
      </x:c>
    </x:row>
    <x:row r="13">
      <x:c r="A13" t="str">
        <x:v>Purchase Order Funding</x:v>
      </x:c>
      <x:c r="B13" s="33" t="n">
        <x:v>400000</x:v>
      </x:c>
      <x:c r="C13" s="30" t="n">
        <x:f>Inputs!$G$5</x:f>
        <x:v>1000</x:v>
      </x:c>
      <x:c r="D13" s="20" t="n">
        <x:f>Inputs!$G$4+VLOOKUP(I13,Inputs!$A$4:$B$7,2,FALSE)</x:f>
        <x:v>0.16999999999999998</x:v>
      </x:c>
      <x:c r="E13" s="30" t="n">
        <x:f>B13*D13*J13/Inputs!$G$8</x:f>
        <x:v>16767.12328767123</x:v>
      </x:c>
      <x:c r="F13" s="30" t="n">
        <x:f>B13*Inputs!$G$6</x:f>
        <x:v>12000</x:v>
      </x:c>
      <x:c r="G13" s="30" t="n">
        <x:f>E13</x:f>
        <x:v>16767.12328767123</x:v>
      </x:c>
      <x:c r="H13" s="30" t="n">
        <x:f>B13+E13</x:f>
        <x:v>416767.12328767125</x:v>
      </x:c>
      <x:c r="I13" s="40" t="str">
        <x:v>Moderate Risk</x:v>
      </x:c>
      <x:c r="J13" s="32" t="n">
        <x:v>90</x:v>
      </x:c>
      <x:c r="K13" s="30" t="n">
        <x:f>B13+C13+E13+F13</x:f>
        <x:v>429767.12328767125</x:v>
      </x:c>
      <x:c r="L13" s="30" t="n">
        <x:f>E13</x:f>
        <x:v>16767.12328767123</x:v>
      </x:c>
      <x:c r="M13" s="30" t="n">
        <x:f>C13</x:f>
        <x:v>1000</x:v>
      </x:c>
      <x:c r="N13" s="30" t="n">
        <x:f>F13</x:f>
        <x:v>12000</x:v>
      </x:c>
      <x:c r="O13" s="30" t="n">
        <x:f>SUM(L13:N13)</x:f>
        <x:v>29767.12328767123</x:v>
      </x:c>
    </x:row>
    <x:row r="14">
      <x:c r="A14" t="str">
        <x:v>Purchase Order Funding</x:v>
      </x:c>
      <x:c r="B14" s="33" t="n">
        <x:v>400000</x:v>
      </x:c>
      <x:c r="C14" s="30" t="n">
        <x:f>Inputs!$G$5</x:f>
        <x:v>1000</x:v>
      </x:c>
      <x:c r="D14" s="20" t="n">
        <x:f>Inputs!$G$4+VLOOKUP(I14,Inputs!$A$4:$B$7,2,FALSE)</x:f>
        <x:v>0.19</x:v>
      </x:c>
      <x:c r="E14" s="30" t="n">
        <x:f>B14*D14*J14/Inputs!$G$8</x:f>
        <x:v>18739.72602739726</x:v>
      </x:c>
      <x:c r="F14" s="30" t="n">
        <x:f>B14*Inputs!$G$6</x:f>
        <x:v>12000</x:v>
      </x:c>
      <x:c r="G14" s="30" t="n">
        <x:f>E14</x:f>
        <x:v>18739.72602739726</x:v>
      </x:c>
      <x:c r="H14" s="30" t="n">
        <x:f>B14+E14</x:f>
        <x:v>418739.72602739726</x:v>
      </x:c>
      <x:c r="I14" s="40" t="str">
        <x:v>High Risk</x:v>
      </x:c>
      <x:c r="J14" s="32" t="n">
        <x:v>90</x:v>
      </x:c>
      <x:c r="K14" s="30" t="n">
        <x:f>B14+C14+E14+F14</x:f>
        <x:v>431739.72602739726</x:v>
      </x:c>
      <x:c r="L14" s="30" t="n">
        <x:f>E14</x:f>
        <x:v>18739.72602739726</x:v>
      </x:c>
      <x:c r="M14" s="30" t="n">
        <x:f>C14</x:f>
        <x:v>1000</x:v>
      </x:c>
      <x:c r="N14" s="30" t="n">
        <x:f>F14</x:f>
        <x:v>12000</x:v>
      </x:c>
      <x:c r="O14" s="30" t="n">
        <x:f>SUM(L14:N14)</x:f>
        <x:v>31739.72602739726</x:v>
      </x:c>
    </x:row>
    <x:row r="15">
      <x:c r="A15" t="str">
        <x:v>Purchase Order Funding</x:v>
      </x:c>
      <x:c r="B15" s="33" t="n">
        <x:v>400000</x:v>
      </x:c>
      <x:c r="C15" s="30" t="n">
        <x:f>Inputs!$G$5</x:f>
        <x:v>1000</x:v>
      </x:c>
      <x:c r="D15" s="20" t="n">
        <x:f>Inputs!$G$4+VLOOKUP(I15,Inputs!$A$4:$B$7,2,FALSE)</x:f>
        <x:v>0.21</x:v>
      </x:c>
      <x:c r="E15" s="30" t="n">
        <x:f>B15*D15*J15/Inputs!$G$8</x:f>
        <x:v>20712.328767123287</x:v>
      </x:c>
      <x:c r="F15" s="30" t="n">
        <x:f>B15*Inputs!$G$6</x:f>
        <x:v>12000</x:v>
      </x:c>
      <x:c r="G15" s="30" t="n">
        <x:f>E15</x:f>
        <x:v>20712.328767123287</x:v>
      </x:c>
      <x:c r="H15" s="30" t="n">
        <x:f>B15+E15</x:f>
        <x:v>420712.3287671233</x:v>
      </x:c>
      <x:c r="I15" s="40" t="str">
        <x:v>Worst Scenario</x:v>
      </x:c>
      <x:c r="J15" s="32" t="n">
        <x:v>90</x:v>
      </x:c>
      <x:c r="K15" s="30" t="n">
        <x:f>B15+C15+E15+F15</x:f>
        <x:v>433712.3287671233</x:v>
      </x:c>
      <x:c r="L15" s="30" t="n">
        <x:f>E15</x:f>
        <x:v>20712.328767123287</x:v>
      </x:c>
      <x:c r="M15" s="30" t="n">
        <x:f>C15</x:f>
        <x:v>1000</x:v>
      </x:c>
      <x:c r="N15" s="30" t="n">
        <x:f>F15</x:f>
        <x:v>12000</x:v>
      </x:c>
      <x:c r="O15" s="30" t="n">
        <x:f>SUM(L15:N15)</x:f>
        <x:v>33712.32876712328</x:v>
      </x:c>
    </x:row>
    <x:row r="16">
      <x:c r="A16" t="str">
        <x:v>Purchase Order Funding</x:v>
      </x:c>
      <x:c r="B16" s="33" t="n">
        <x:v>500000</x:v>
      </x:c>
      <x:c r="C16" s="30" t="n">
        <x:f>Inputs!$G$5</x:f>
        <x:v>1000</x:v>
      </x:c>
      <x:c r="D16" s="20" t="n">
        <x:f>Inputs!$G$4+VLOOKUP(I16,Inputs!$A$4:$B$7,2,FALSE)</x:f>
        <x:v>0.155</x:v>
      </x:c>
      <x:c r="E16" s="30" t="n">
        <x:f>B16*D16*J16/Inputs!$G$8</x:f>
        <x:v>19109.58904109589</x:v>
      </x:c>
      <x:c r="F16" s="30" t="n">
        <x:f>B16*Inputs!$G$6</x:f>
        <x:v>15000</x:v>
      </x:c>
      <x:c r="G16" s="30" t="n">
        <x:f>E16</x:f>
        <x:v>19109.58904109589</x:v>
      </x:c>
      <x:c r="H16" s="30" t="n">
        <x:f>B16+E16</x:f>
        <x:v>519109.58904109587</x:v>
      </x:c>
      <x:c r="I16" s="40" t="str">
        <x:v>Low Risk</x:v>
      </x:c>
      <x:c r="J16" s="32" t="n">
        <x:v>90</x:v>
      </x:c>
      <x:c r="K16" s="30" t="n">
        <x:f>B16+C16+E16+F16</x:f>
        <x:v>535109.5890410959</x:v>
      </x:c>
      <x:c r="L16" s="30" t="n">
        <x:f>E16</x:f>
        <x:v>19109.58904109589</x:v>
      </x:c>
      <x:c r="M16" s="30" t="n">
        <x:f>C16</x:f>
        <x:v>1000</x:v>
      </x:c>
      <x:c r="N16" s="30" t="n">
        <x:f>F16</x:f>
        <x:v>15000</x:v>
      </x:c>
      <x:c r="O16" s="30" t="n">
        <x:f>SUM(L16:N16)</x:f>
        <x:v>35109.58904109589</x:v>
      </x:c>
    </x:row>
    <x:row r="17">
      <x:c r="A17" t="str">
        <x:v>Purchase Order Funding</x:v>
      </x:c>
      <x:c r="B17" s="33" t="n">
        <x:v>500000</x:v>
      </x:c>
      <x:c r="C17" s="30" t="n">
        <x:f>Inputs!$G$5</x:f>
        <x:v>1000</x:v>
      </x:c>
      <x:c r="D17" s="20" t="n">
        <x:f>Inputs!$G$4+VLOOKUP(I17,Inputs!$A$4:$B$7,2,FALSE)</x:f>
        <x:v>0.16999999999999998</x:v>
      </x:c>
      <x:c r="E17" s="30" t="n">
        <x:f>B17*D17*J17/Inputs!$G$8</x:f>
        <x:v>20958.90410958904</x:v>
      </x:c>
      <x:c r="F17" s="30" t="n">
        <x:f>B17*Inputs!$G$6</x:f>
        <x:v>15000</x:v>
      </x:c>
      <x:c r="G17" s="30" t="n">
        <x:f>E17</x:f>
        <x:v>20958.90410958904</x:v>
      </x:c>
      <x:c r="H17" s="30" t="n">
        <x:f>B17+E17</x:f>
        <x:v>520958.90410958906</x:v>
      </x:c>
      <x:c r="I17" s="40" t="str">
        <x:v>Moderate Risk</x:v>
      </x:c>
      <x:c r="J17" s="32" t="n">
        <x:v>90</x:v>
      </x:c>
      <x:c r="K17" s="30" t="n">
        <x:f>B17+C17+E17+F17</x:f>
        <x:v>536958.904109589</x:v>
      </x:c>
      <x:c r="L17" s="30" t="n">
        <x:f>E17</x:f>
        <x:v>20958.90410958904</x:v>
      </x:c>
      <x:c r="M17" s="30" t="n">
        <x:f>C17</x:f>
        <x:v>1000</x:v>
      </x:c>
      <x:c r="N17" s="30" t="n">
        <x:f>F17</x:f>
        <x:v>15000</x:v>
      </x:c>
      <x:c r="O17" s="30" t="n">
        <x:f>SUM(L17:N17)</x:f>
        <x:v>36958.90410958904</x:v>
      </x:c>
    </x:row>
    <x:row r="18">
      <x:c r="A18" t="str">
        <x:v>Purchase Order Funding</x:v>
      </x:c>
      <x:c r="B18" s="33" t="n">
        <x:v>500000</x:v>
      </x:c>
      <x:c r="C18" s="30" t="n">
        <x:f>Inputs!$G$5</x:f>
        <x:v>1000</x:v>
      </x:c>
      <x:c r="D18" s="20" t="n">
        <x:f>Inputs!$G$4+VLOOKUP(I18,Inputs!$A$4:$B$7,2,FALSE)</x:f>
        <x:v>0.19</x:v>
      </x:c>
      <x:c r="E18" s="30" t="n">
        <x:f>B18*D18*J18/Inputs!$G$8</x:f>
        <x:v>23424.657534246577</x:v>
      </x:c>
      <x:c r="F18" s="30" t="n">
        <x:f>B18*Inputs!$G$6</x:f>
        <x:v>15000</x:v>
      </x:c>
      <x:c r="G18" s="30" t="n">
        <x:f>E18</x:f>
        <x:v>23424.657534246577</x:v>
      </x:c>
      <x:c r="H18" s="30" t="n">
        <x:f>B18+E18</x:f>
        <x:v>523424.65753424657</x:v>
      </x:c>
      <x:c r="I18" s="40" t="str">
        <x:v>High Risk</x:v>
      </x:c>
      <x:c r="J18" s="32" t="n">
        <x:v>90</x:v>
      </x:c>
      <x:c r="K18" s="30" t="n">
        <x:f>B18+C18+E18+F18</x:f>
        <x:v>539424.6575342466</x:v>
      </x:c>
      <x:c r="L18" s="30" t="n">
        <x:f>E18</x:f>
        <x:v>23424.657534246577</x:v>
      </x:c>
      <x:c r="M18" s="30" t="n">
        <x:f>C18</x:f>
        <x:v>1000</x:v>
      </x:c>
      <x:c r="N18" s="30" t="n">
        <x:f>F18</x:f>
        <x:v>15000</x:v>
      </x:c>
      <x:c r="O18" s="30" t="n">
        <x:f>SUM(L18:N18)</x:f>
        <x:v>39424.65753424658</x:v>
      </x:c>
    </x:row>
    <x:row r="19">
      <x:c r="A19" t="str">
        <x:v>Purchase Order Funding</x:v>
      </x:c>
      <x:c r="B19" s="33" t="n">
        <x:v>500000</x:v>
      </x:c>
      <x:c r="C19" s="30" t="n">
        <x:f>Inputs!$G$5</x:f>
        <x:v>1000</x:v>
      </x:c>
      <x:c r="D19" s="20" t="n">
        <x:f>Inputs!$G$4+VLOOKUP(I19,Inputs!$A$4:$B$7,2,FALSE)</x:f>
        <x:v>0.21</x:v>
      </x:c>
      <x:c r="E19" s="30" t="n">
        <x:f>B19*D19*J19/Inputs!$G$8</x:f>
        <x:v>25890.41095890411</x:v>
      </x:c>
      <x:c r="F19" s="30" t="n">
        <x:f>B19*Inputs!$G$6</x:f>
        <x:v>15000</x:v>
      </x:c>
      <x:c r="G19" s="30" t="n">
        <x:f>E19</x:f>
        <x:v>25890.41095890411</x:v>
      </x:c>
      <x:c r="H19" s="30" t="n">
        <x:f>B19+E19</x:f>
        <x:v>525890.4109589041</x:v>
      </x:c>
      <x:c r="I19" s="40" t="str">
        <x:v>Worst Scenario</x:v>
      </x:c>
      <x:c r="J19" s="32" t="n">
        <x:v>90</x:v>
      </x:c>
      <x:c r="K19" s="30" t="n">
        <x:f>B19+C19+E19+F19</x:f>
        <x:v>541890.4109589041</x:v>
      </x:c>
      <x:c r="L19" s="30" t="n">
        <x:f>E19</x:f>
        <x:v>25890.41095890411</x:v>
      </x:c>
      <x:c r="M19" s="30" t="n">
        <x:f>C19</x:f>
        <x:v>1000</x:v>
      </x:c>
      <x:c r="N19" s="30" t="n">
        <x:f>F19</x:f>
        <x:v>15000</x:v>
      </x:c>
      <x:c r="O19" s="30" t="n">
        <x:f>SUM(L19:N19)</x:f>
        <x:v>41890.41095890411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fb62de0e3f6442e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16" hidden="0" customWidth="1"/>
    <x:col min="3" max="3" width="19" hidden="0" customWidth="1"/>
    <x:col min="4" max="4" width="14" hidden="0" customWidth="1"/>
    <x:col min="5" max="5" width="28" hidden="0" customWidth="1"/>
    <x:col min="6" max="6" width="28" hidden="0" customWidth="1"/>
    <x:col min="7" max="7" width="18" hidden="0" customWidth="1"/>
    <x:col min="8" max="8" width="25" hidden="0" customWidth="1"/>
    <x:col min="9" max="9" width="18" hidden="0" customWidth="1"/>
    <x:col min="10" max="10" width="14" hidden="0" customWidth="1"/>
    <x:col min="11" max="11" width="24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</x:cols>
  <x:sheetData>
    <x:row r="1">
      <x:c r="A1" s="5" t="str">
        <x:v>Short-Term Contract Funding – Base Scenarios (No Late-Payment Calculations)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</x:row>
    <x:row r="3">
      <x:c r="A3" s="14" t="str">
        <x:v>Product</x:v>
      </x:c>
      <x:c r="B3" s="14" t="str">
        <x:v>Loan Amount</x:v>
      </x:c>
      <x:c r="C3" s="14" t="str">
        <x:v>Initiation Fee (once off)</x:v>
      </x:c>
      <x:c r="D3" s="14" t="str">
        <x:v>Grade Rate</x:v>
      </x:c>
      <x:c r="E3" s="14" t="str">
        <x:v>Interest on Capital calculated on a daily basis</x:v>
      </x:c>
      <x:c r="F3" s="14" t="str">
        <x:v>Management Fee (drawing of legal documents - once off)</x:v>
      </x:c>
      <x:c r="G3" s="14" t="str">
        <x:v>Total Interest</x:v>
      </x:c>
      <x:c r="H3" s="14" t="str">
        <x:v>Total Capital + Interest = Total due to Funder</x:v>
      </x:c>
      <x:c r="I3" s="14" t="str">
        <x:v>Risk Grade</x:v>
      </x:c>
      <x:c r="J3" s="14" t="str">
        <x:v>Days Financed</x:v>
      </x:c>
      <x:c r="K3" s="14" t="str">
        <x:v>Full Amount incl. Initiation &amp; Management Fees</x:v>
      </x:c>
      <x:c r="L3" s="71" t="str">
        <x:v>Interest Earned</x:v>
      </x:c>
      <x:c r="M3" s="71" t="str">
        <x:v>Initiation Fee Earned</x:v>
      </x:c>
      <x:c r="N3" s="71" t="str">
        <x:v>Management Fee Earned</x:v>
      </x:c>
      <x:c r="O3" s="71" t="str">
        <x:v>Total Revenue / Money Earned from Client</x:v>
      </x:c>
    </x:row>
    <x:row r="4">
      <x:c r="A4" t="str">
        <x:v>Short Term Contract</x:v>
      </x:c>
      <x:c r="B4" s="33" t="n">
        <x:v>500000</x:v>
      </x:c>
      <x:c r="C4" s="30" t="n">
        <x:f>Inputs!$G$5</x:f>
        <x:v>1000</x:v>
      </x:c>
      <x:c r="D4" s="20" t="n">
        <x:f>Inputs!$G$4+VLOOKUP(I4,Inputs!$A$4:$B$7,2,FALSE)</x:f>
        <x:v>0.155</x:v>
      </x:c>
      <x:c r="E4" s="30" t="n">
        <x:f>B4*D4*J4/Inputs!$G$8</x:f>
        <x:v>38219.17808219178</x:v>
      </x:c>
      <x:c r="F4" s="30" t="n">
        <x:f>B4*Inputs!$G$6</x:f>
        <x:v>15000</x:v>
      </x:c>
      <x:c r="G4" s="30" t="n">
        <x:f>E4</x:f>
        <x:v>38219.17808219178</x:v>
      </x:c>
      <x:c r="H4" s="30" t="n">
        <x:f>B4+E4</x:f>
        <x:v>538219.1780821917</x:v>
      </x:c>
      <x:c r="I4" s="40" t="str">
        <x:v>Low Risk</x:v>
      </x:c>
      <x:c r="J4" s="32" t="n">
        <x:v>180</x:v>
      </x:c>
      <x:c r="K4" s="30" t="n">
        <x:f>B4+C4+E4+F4</x:f>
        <x:v>554219.1780821917</x:v>
      </x:c>
      <x:c r="L4" s="30" t="n">
        <x:f>E4</x:f>
        <x:v>38219.17808219178</x:v>
      </x:c>
      <x:c r="M4" s="30" t="n">
        <x:f>C4</x:f>
        <x:v>1000</x:v>
      </x:c>
      <x:c r="N4" s="30" t="n">
        <x:f>F4</x:f>
        <x:v>15000</x:v>
      </x:c>
      <x:c r="O4" s="30" t="n">
        <x:f>SUM(L4:N4)</x:f>
        <x:v>54219.17808219178</x:v>
      </x:c>
    </x:row>
    <x:row r="5">
      <x:c r="A5" t="str">
        <x:v>Short Term Contract</x:v>
      </x:c>
      <x:c r="B5" s="33" t="n">
        <x:v>500000</x:v>
      </x:c>
      <x:c r="C5" s="30" t="n">
        <x:f>Inputs!$G$5</x:f>
        <x:v>1000</x:v>
      </x:c>
      <x:c r="D5" s="20" t="n">
        <x:f>Inputs!$G$4+VLOOKUP(I5,Inputs!$A$4:$B$7,2,FALSE)</x:f>
        <x:v>0.16999999999999998</x:v>
      </x:c>
      <x:c r="E5" s="30" t="n">
        <x:f>B5*D5*J5/Inputs!$G$8</x:f>
        <x:v>41917.80821917808</x:v>
      </x:c>
      <x:c r="F5" s="30" t="n">
        <x:f>B5*Inputs!$G$6</x:f>
        <x:v>15000</x:v>
      </x:c>
      <x:c r="G5" s="30" t="n">
        <x:f>E5</x:f>
        <x:v>41917.80821917808</x:v>
      </x:c>
      <x:c r="H5" s="30" t="n">
        <x:f>B5+E5</x:f>
        <x:v>541917.8082191781</x:v>
      </x:c>
      <x:c r="I5" s="40" t="str">
        <x:v>Moderate Risk</x:v>
      </x:c>
      <x:c r="J5" s="32" t="n">
        <x:v>180</x:v>
      </x:c>
      <x:c r="K5" s="30" t="n">
        <x:f>B5+C5+E5+F5</x:f>
        <x:v>557917.8082191781</x:v>
      </x:c>
      <x:c r="L5" s="30" t="n">
        <x:f>E5</x:f>
        <x:v>41917.80821917808</x:v>
      </x:c>
      <x:c r="M5" s="30" t="n">
        <x:f>C5</x:f>
        <x:v>1000</x:v>
      </x:c>
      <x:c r="N5" s="30" t="n">
        <x:f>F5</x:f>
        <x:v>15000</x:v>
      </x:c>
      <x:c r="O5" s="30" t="n">
        <x:f>SUM(L5:N5)</x:f>
        <x:v>57917.80821917808</x:v>
      </x:c>
    </x:row>
    <x:row r="6">
      <x:c r="A6" t="str">
        <x:v>Short Term Contract</x:v>
      </x:c>
      <x:c r="B6" s="33" t="n">
        <x:v>500000</x:v>
      </x:c>
      <x:c r="C6" s="30" t="n">
        <x:f>Inputs!$G$5</x:f>
        <x:v>1000</x:v>
      </x:c>
      <x:c r="D6" s="20" t="n">
        <x:f>Inputs!$G$4+VLOOKUP(I6,Inputs!$A$4:$B$7,2,FALSE)</x:f>
        <x:v>0.19</x:v>
      </x:c>
      <x:c r="E6" s="30" t="n">
        <x:f>B6*D6*J6/Inputs!$G$8</x:f>
        <x:v>46849.31506849315</x:v>
      </x:c>
      <x:c r="F6" s="30" t="n">
        <x:f>B6*Inputs!$G$6</x:f>
        <x:v>15000</x:v>
      </x:c>
      <x:c r="G6" s="30" t="n">
        <x:f>E6</x:f>
        <x:v>46849.31506849315</x:v>
      </x:c>
      <x:c r="H6" s="30" t="n">
        <x:f>B6+E6</x:f>
        <x:v>546849.3150684931</x:v>
      </x:c>
      <x:c r="I6" s="40" t="str">
        <x:v>High Risk</x:v>
      </x:c>
      <x:c r="J6" s="32" t="n">
        <x:v>180</x:v>
      </x:c>
      <x:c r="K6" s="30" t="n">
        <x:f>B6+C6+E6+F6</x:f>
        <x:v>562849.3150684931</x:v>
      </x:c>
      <x:c r="L6" s="30" t="n">
        <x:f>E6</x:f>
        <x:v>46849.31506849315</x:v>
      </x:c>
      <x:c r="M6" s="30" t="n">
        <x:f>C6</x:f>
        <x:v>1000</x:v>
      </x:c>
      <x:c r="N6" s="30" t="n">
        <x:f>F6</x:f>
        <x:v>15000</x:v>
      </x:c>
      <x:c r="O6" s="30" t="n">
        <x:f>SUM(L6:N6)</x:f>
        <x:v>62849.31506849315</x:v>
      </x:c>
    </x:row>
    <x:row r="7">
      <x:c r="A7" t="str">
        <x:v>Short Term Contract</x:v>
      </x:c>
      <x:c r="B7" s="33" t="n">
        <x:v>500000</x:v>
      </x:c>
      <x:c r="C7" s="30" t="n">
        <x:f>Inputs!$G$5</x:f>
        <x:v>1000</x:v>
      </x:c>
      <x:c r="D7" s="20" t="n">
        <x:f>Inputs!$G$4+VLOOKUP(I7,Inputs!$A$4:$B$7,2,FALSE)</x:f>
        <x:v>0.21</x:v>
      </x:c>
      <x:c r="E7" s="30" t="n">
        <x:f>B7*D7*J7/Inputs!$G$8</x:f>
        <x:v>51780.82191780822</x:v>
      </x:c>
      <x:c r="F7" s="30" t="n">
        <x:f>B7*Inputs!$G$6</x:f>
        <x:v>15000</x:v>
      </x:c>
      <x:c r="G7" s="30" t="n">
        <x:f>E7</x:f>
        <x:v>51780.82191780822</x:v>
      </x:c>
      <x:c r="H7" s="30" t="n">
        <x:f>B7+E7</x:f>
        <x:v>551780.8219178083</x:v>
      </x:c>
      <x:c r="I7" s="40" t="str">
        <x:v>Worst Scenario</x:v>
      </x:c>
      <x:c r="J7" s="32" t="n">
        <x:v>180</x:v>
      </x:c>
      <x:c r="K7" s="30" t="n">
        <x:f>B7+C7+E7+F7</x:f>
        <x:v>567780.8219178083</x:v>
      </x:c>
      <x:c r="L7" s="30" t="n">
        <x:f>E7</x:f>
        <x:v>51780.82191780822</x:v>
      </x:c>
      <x:c r="M7" s="30" t="n">
        <x:f>C7</x:f>
        <x:v>1000</x:v>
      </x:c>
      <x:c r="N7" s="30" t="n">
        <x:f>F7</x:f>
        <x:v>15000</x:v>
      </x:c>
      <x:c r="O7" s="30" t="n">
        <x:f>SUM(L7:N7)</x:f>
        <x:v>67780.82191780822</x:v>
      </x:c>
    </x:row>
    <x:row r="8">
      <x:c r="A8" t="str">
        <x:v>Short Term Contract</x:v>
      </x:c>
      <x:c r="B8" s="33" t="n">
        <x:v>500000</x:v>
      </x:c>
      <x:c r="C8" s="30" t="n">
        <x:f>Inputs!$G$5</x:f>
        <x:v>1000</x:v>
      </x:c>
      <x:c r="D8" s="20" t="n">
        <x:f>Inputs!$G$4+VLOOKUP(I8,Inputs!$A$4:$B$7,2,FALSE)</x:f>
        <x:v>0.155</x:v>
      </x:c>
      <x:c r="E8" s="30" t="n">
        <x:f>B8*D8*J8/Inputs!$G$8</x:f>
        <x:v>77500</x:v>
      </x:c>
      <x:c r="F8" s="30" t="n">
        <x:f>B8*Inputs!$G$6</x:f>
        <x:v>15000</x:v>
      </x:c>
      <x:c r="G8" s="30" t="n">
        <x:f>E8</x:f>
        <x:v>77500</x:v>
      </x:c>
      <x:c r="H8" s="30" t="n">
        <x:f>B8+E8</x:f>
        <x:v>577500</x:v>
      </x:c>
      <x:c r="I8" s="40" t="str">
        <x:v>Low Risk</x:v>
      </x:c>
      <x:c r="J8" s="32" t="n">
        <x:v>365</x:v>
      </x:c>
      <x:c r="K8" s="30" t="n">
        <x:f>B8+C8+E8+F8</x:f>
        <x:v>593500</x:v>
      </x:c>
      <x:c r="L8" s="30" t="n">
        <x:f>E8</x:f>
        <x:v>77500</x:v>
      </x:c>
      <x:c r="M8" s="30" t="n">
        <x:f>C8</x:f>
        <x:v>1000</x:v>
      </x:c>
      <x:c r="N8" s="30" t="n">
        <x:f>F8</x:f>
        <x:v>15000</x:v>
      </x:c>
      <x:c r="O8" s="30" t="n">
        <x:f>SUM(L8:N8)</x:f>
        <x:v>93500</x:v>
      </x:c>
    </x:row>
    <x:row r="9">
      <x:c r="A9" t="str">
        <x:v>Short Term Contract</x:v>
      </x:c>
      <x:c r="B9" s="33" t="n">
        <x:v>500000</x:v>
      </x:c>
      <x:c r="C9" s="30" t="n">
        <x:f>Inputs!$G$5</x:f>
        <x:v>1000</x:v>
      </x:c>
      <x:c r="D9" s="20" t="n">
        <x:f>Inputs!$G$4+VLOOKUP(I9,Inputs!$A$4:$B$7,2,FALSE)</x:f>
        <x:v>0.16999999999999998</x:v>
      </x:c>
      <x:c r="E9" s="30" t="n">
        <x:f>B9*D9*J9/Inputs!$G$8</x:f>
        <x:v>84999.99999999999</x:v>
      </x:c>
      <x:c r="F9" s="30" t="n">
        <x:f>B9*Inputs!$G$6</x:f>
        <x:v>15000</x:v>
      </x:c>
      <x:c r="G9" s="30" t="n">
        <x:f>E9</x:f>
        <x:v>84999.99999999999</x:v>
      </x:c>
      <x:c r="H9" s="30" t="n">
        <x:f>B9+E9</x:f>
        <x:v>585000</x:v>
      </x:c>
      <x:c r="I9" s="40" t="str">
        <x:v>Moderate Risk</x:v>
      </x:c>
      <x:c r="J9" s="32" t="n">
        <x:v>365</x:v>
      </x:c>
      <x:c r="K9" s="30" t="n">
        <x:f>B9+C9+E9+F9</x:f>
        <x:v>601000</x:v>
      </x:c>
      <x:c r="L9" s="30" t="n">
        <x:f>E9</x:f>
        <x:v>84999.99999999999</x:v>
      </x:c>
      <x:c r="M9" s="30" t="n">
        <x:f>C9</x:f>
        <x:v>1000</x:v>
      </x:c>
      <x:c r="N9" s="30" t="n">
        <x:f>F9</x:f>
        <x:v>15000</x:v>
      </x:c>
      <x:c r="O9" s="30" t="n">
        <x:f>SUM(L9:N9)</x:f>
        <x:v>100999.99999999999</x:v>
      </x:c>
    </x:row>
    <x:row r="10">
      <x:c r="A10" t="str">
        <x:v>Short Term Contract</x:v>
      </x:c>
      <x:c r="B10" s="33" t="n">
        <x:v>500000</x:v>
      </x:c>
      <x:c r="C10" s="30" t="n">
        <x:f>Inputs!$G$5</x:f>
        <x:v>1000</x:v>
      </x:c>
      <x:c r="D10" s="20" t="n">
        <x:f>Inputs!$G$4+VLOOKUP(I10,Inputs!$A$4:$B$7,2,FALSE)</x:f>
        <x:v>0.19</x:v>
      </x:c>
      <x:c r="E10" s="30" t="n">
        <x:f>B10*D10*J10/Inputs!$G$8</x:f>
        <x:v>95000</x:v>
      </x:c>
      <x:c r="F10" s="30" t="n">
        <x:f>B10*Inputs!$G$6</x:f>
        <x:v>15000</x:v>
      </x:c>
      <x:c r="G10" s="30" t="n">
        <x:f>E10</x:f>
        <x:v>95000</x:v>
      </x:c>
      <x:c r="H10" s="30" t="n">
        <x:f>B10+E10</x:f>
        <x:v>595000</x:v>
      </x:c>
      <x:c r="I10" s="40" t="str">
        <x:v>High Risk</x:v>
      </x:c>
      <x:c r="J10" s="32" t="n">
        <x:v>365</x:v>
      </x:c>
      <x:c r="K10" s="30" t="n">
        <x:f>B10+C10+E10+F10</x:f>
        <x:v>611000</x:v>
      </x:c>
      <x:c r="L10" s="30" t="n">
        <x:f>E10</x:f>
        <x:v>95000</x:v>
      </x:c>
      <x:c r="M10" s="30" t="n">
        <x:f>C10</x:f>
        <x:v>1000</x:v>
      </x:c>
      <x:c r="N10" s="30" t="n">
        <x:f>F10</x:f>
        <x:v>15000</x:v>
      </x:c>
      <x:c r="O10" s="30" t="n">
        <x:f>SUM(L10:N10)</x:f>
        <x:v>111000</x:v>
      </x:c>
    </x:row>
    <x:row r="11">
      <x:c r="A11" t="str">
        <x:v>Short Term Contract</x:v>
      </x:c>
      <x:c r="B11" s="33" t="n">
        <x:v>500000</x:v>
      </x:c>
      <x:c r="C11" s="30" t="n">
        <x:f>Inputs!$G$5</x:f>
        <x:v>1000</x:v>
      </x:c>
      <x:c r="D11" s="20" t="n">
        <x:f>Inputs!$G$4+VLOOKUP(I11,Inputs!$A$4:$B$7,2,FALSE)</x:f>
        <x:v>0.21</x:v>
      </x:c>
      <x:c r="E11" s="30" t="n">
        <x:f>B11*D11*J11/Inputs!$G$8</x:f>
        <x:v>105000</x:v>
      </x:c>
      <x:c r="F11" s="30" t="n">
        <x:f>B11*Inputs!$G$6</x:f>
        <x:v>15000</x:v>
      </x:c>
      <x:c r="G11" s="30" t="n">
        <x:f>E11</x:f>
        <x:v>105000</x:v>
      </x:c>
      <x:c r="H11" s="30" t="n">
        <x:f>B11+E11</x:f>
        <x:v>605000</x:v>
      </x:c>
      <x:c r="I11" s="40" t="str">
        <x:v>Worst Scenario</x:v>
      </x:c>
      <x:c r="J11" s="32" t="n">
        <x:v>365</x:v>
      </x:c>
      <x:c r="K11" s="30" t="n">
        <x:f>B11+C11+E11+F11</x:f>
        <x:v>621000</x:v>
      </x:c>
      <x:c r="L11" s="30" t="n">
        <x:f>E11</x:f>
        <x:v>105000</x:v>
      </x:c>
      <x:c r="M11" s="30" t="n">
        <x:f>C11</x:f>
        <x:v>1000</x:v>
      </x:c>
      <x:c r="N11" s="30" t="n">
        <x:f>F11</x:f>
        <x:v>15000</x:v>
      </x:c>
      <x:c r="O11" s="30" t="n">
        <x:f>SUM(L11:N11)</x:f>
        <x:v>121000</x:v>
      </x:c>
    </x:row>
    <x:row r="12">
      <x:c r="A12" t="str">
        <x:v>Short Term Contract</x:v>
      </x:c>
      <x:c r="B12" s="33" t="n">
        <x:v>500000</x:v>
      </x:c>
      <x:c r="C12" s="30" t="n">
        <x:f>Inputs!$G$5</x:f>
        <x:v>1000</x:v>
      </x:c>
      <x:c r="D12" s="20" t="n">
        <x:f>Inputs!$G$4+VLOOKUP(I12,Inputs!$A$4:$B$7,2,FALSE)</x:f>
        <x:v>0.155</x:v>
      </x:c>
      <x:c r="E12" s="30" t="n">
        <x:f>B12*D12*J12/Inputs!$G$8</x:f>
        <x:v>155000</x:v>
      </x:c>
      <x:c r="F12" s="30" t="n">
        <x:f>B12*Inputs!$G$6</x:f>
        <x:v>15000</x:v>
      </x:c>
      <x:c r="G12" s="30" t="n">
        <x:f>E12</x:f>
        <x:v>155000</x:v>
      </x:c>
      <x:c r="H12" s="30" t="n">
        <x:f>B12+E12</x:f>
        <x:v>655000</x:v>
      </x:c>
      <x:c r="I12" s="40" t="str">
        <x:v>Low Risk</x:v>
      </x:c>
      <x:c r="J12" s="32" t="n">
        <x:v>730</x:v>
      </x:c>
      <x:c r="K12" s="30" t="n">
        <x:f>B12+C12+E12+F12</x:f>
        <x:v>671000</x:v>
      </x:c>
      <x:c r="L12" s="30" t="n">
        <x:f>E12</x:f>
        <x:v>155000</x:v>
      </x:c>
      <x:c r="M12" s="30" t="n">
        <x:f>C12</x:f>
        <x:v>1000</x:v>
      </x:c>
      <x:c r="N12" s="30" t="n">
        <x:f>F12</x:f>
        <x:v>15000</x:v>
      </x:c>
      <x:c r="O12" s="30" t="n">
        <x:f>SUM(L12:N12)</x:f>
        <x:v>171000</x:v>
      </x:c>
    </x:row>
    <x:row r="13">
      <x:c r="A13" t="str">
        <x:v>Short Term Contract</x:v>
      </x:c>
      <x:c r="B13" s="33" t="n">
        <x:v>500000</x:v>
      </x:c>
      <x:c r="C13" s="30" t="n">
        <x:f>Inputs!$G$5</x:f>
        <x:v>1000</x:v>
      </x:c>
      <x:c r="D13" s="20" t="n">
        <x:f>Inputs!$G$4+VLOOKUP(I13,Inputs!$A$4:$B$7,2,FALSE)</x:f>
        <x:v>0.16999999999999998</x:v>
      </x:c>
      <x:c r="E13" s="30" t="n">
        <x:f>B13*D13*J13/Inputs!$G$8</x:f>
        <x:v>169999.99999999997</x:v>
      </x:c>
      <x:c r="F13" s="30" t="n">
        <x:f>B13*Inputs!$G$6</x:f>
        <x:v>15000</x:v>
      </x:c>
      <x:c r="G13" s="30" t="n">
        <x:f>E13</x:f>
        <x:v>169999.99999999997</x:v>
      </x:c>
      <x:c r="H13" s="30" t="n">
        <x:f>B13+E13</x:f>
        <x:v>670000</x:v>
      </x:c>
      <x:c r="I13" s="40" t="str">
        <x:v>Moderate Risk</x:v>
      </x:c>
      <x:c r="J13" s="32" t="n">
        <x:v>730</x:v>
      </x:c>
      <x:c r="K13" s="30" t="n">
        <x:f>B13+C13+E13+F13</x:f>
        <x:v>686000</x:v>
      </x:c>
      <x:c r="L13" s="30" t="n">
        <x:f>E13</x:f>
        <x:v>169999.99999999997</x:v>
      </x:c>
      <x:c r="M13" s="30" t="n">
        <x:f>C13</x:f>
        <x:v>1000</x:v>
      </x:c>
      <x:c r="N13" s="30" t="n">
        <x:f>F13</x:f>
        <x:v>15000</x:v>
      </x:c>
      <x:c r="O13" s="30" t="n">
        <x:f>SUM(L13:N13)</x:f>
        <x:v>185999.99999999997</x:v>
      </x:c>
    </x:row>
    <x:row r="14">
      <x:c r="A14" t="str">
        <x:v>Short Term Contract</x:v>
      </x:c>
      <x:c r="B14" s="33" t="n">
        <x:v>500000</x:v>
      </x:c>
      <x:c r="C14" s="30" t="n">
        <x:f>Inputs!$G$5</x:f>
        <x:v>1000</x:v>
      </x:c>
      <x:c r="D14" s="20" t="n">
        <x:f>Inputs!$G$4+VLOOKUP(I14,Inputs!$A$4:$B$7,2,FALSE)</x:f>
        <x:v>0.19</x:v>
      </x:c>
      <x:c r="E14" s="30" t="n">
        <x:f>B14*D14*J14/Inputs!$G$8</x:f>
        <x:v>190000</x:v>
      </x:c>
      <x:c r="F14" s="30" t="n">
        <x:f>B14*Inputs!$G$6</x:f>
        <x:v>15000</x:v>
      </x:c>
      <x:c r="G14" s="30" t="n">
        <x:f>E14</x:f>
        <x:v>190000</x:v>
      </x:c>
      <x:c r="H14" s="30" t="n">
        <x:f>B14+E14</x:f>
        <x:v>690000</x:v>
      </x:c>
      <x:c r="I14" s="40" t="str">
        <x:v>High Risk</x:v>
      </x:c>
      <x:c r="J14" s="32" t="n">
        <x:v>730</x:v>
      </x:c>
      <x:c r="K14" s="30" t="n">
        <x:f>B14+C14+E14+F14</x:f>
        <x:v>706000</x:v>
      </x:c>
      <x:c r="L14" s="30" t="n">
        <x:f>E14</x:f>
        <x:v>190000</x:v>
      </x:c>
      <x:c r="M14" s="30" t="n">
        <x:f>C14</x:f>
        <x:v>1000</x:v>
      </x:c>
      <x:c r="N14" s="30" t="n">
        <x:f>F14</x:f>
        <x:v>15000</x:v>
      </x:c>
      <x:c r="O14" s="30" t="n">
        <x:f>SUM(L14:N14)</x:f>
        <x:v>206000</x:v>
      </x:c>
    </x:row>
    <x:row r="15">
      <x:c r="A15" t="str">
        <x:v>Short Term Contract</x:v>
      </x:c>
      <x:c r="B15" s="33" t="n">
        <x:v>500000</x:v>
      </x:c>
      <x:c r="C15" s="30" t="n">
        <x:f>Inputs!$G$5</x:f>
        <x:v>1000</x:v>
      </x:c>
      <x:c r="D15" s="20" t="n">
        <x:f>Inputs!$G$4+VLOOKUP(I15,Inputs!$A$4:$B$7,2,FALSE)</x:f>
        <x:v>0.21</x:v>
      </x:c>
      <x:c r="E15" s="30" t="n">
        <x:f>B15*D15*J15/Inputs!$G$8</x:f>
        <x:v>210000</x:v>
      </x:c>
      <x:c r="F15" s="30" t="n">
        <x:f>B15*Inputs!$G$6</x:f>
        <x:v>15000</x:v>
      </x:c>
      <x:c r="G15" s="30" t="n">
        <x:f>E15</x:f>
        <x:v>210000</x:v>
      </x:c>
      <x:c r="H15" s="30" t="n">
        <x:f>B15+E15</x:f>
        <x:v>710000</x:v>
      </x:c>
      <x:c r="I15" s="40" t="str">
        <x:v>Worst Scenario</x:v>
      </x:c>
      <x:c r="J15" s="32" t="n">
        <x:v>730</x:v>
      </x:c>
      <x:c r="K15" s="30" t="n">
        <x:f>B15+C15+E15+F15</x:f>
        <x:v>726000</x:v>
      </x:c>
      <x:c r="L15" s="30" t="n">
        <x:f>E15</x:f>
        <x:v>210000</x:v>
      </x:c>
      <x:c r="M15" s="30" t="n">
        <x:f>C15</x:f>
        <x:v>1000</x:v>
      </x:c>
      <x:c r="N15" s="30" t="n">
        <x:f>F15</x:f>
        <x:v>15000</x:v>
      </x:c>
      <x:c r="O15" s="30" t="n">
        <x:f>SUM(L15:N15)</x:f>
        <x:v>226000</x:v>
      </x:c>
    </x:row>
    <x:row r="16">
      <x:c r="A16" t="str">
        <x:v>Short Term Contract</x:v>
      </x:c>
      <x:c r="B16" s="33" t="n">
        <x:v>500000</x:v>
      </x:c>
      <x:c r="C16" s="30" t="n">
        <x:f>Inputs!$G$5</x:f>
        <x:v>1000</x:v>
      </x:c>
      <x:c r="D16" s="20" t="n">
        <x:f>Inputs!$G$4+VLOOKUP(I16,Inputs!$A$4:$B$7,2,FALSE)</x:f>
        <x:v>0.155</x:v>
      </x:c>
      <x:c r="E16" s="30" t="n">
        <x:f>B16*D16*J16/Inputs!$G$8</x:f>
        <x:v>232500</x:v>
      </x:c>
      <x:c r="F16" s="30" t="n">
        <x:f>B16*Inputs!$G$6</x:f>
        <x:v>15000</x:v>
      </x:c>
      <x:c r="G16" s="30" t="n">
        <x:f>E16</x:f>
        <x:v>232500</x:v>
      </x:c>
      <x:c r="H16" s="30" t="n">
        <x:f>B16+E16</x:f>
        <x:v>732500</x:v>
      </x:c>
      <x:c r="I16" s="40" t="str">
        <x:v>Low Risk</x:v>
      </x:c>
      <x:c r="J16" s="32" t="n">
        <x:v>1095</x:v>
      </x:c>
      <x:c r="K16" s="30" t="n">
        <x:f>B16+C16+E16+F16</x:f>
        <x:v>748500</x:v>
      </x:c>
      <x:c r="L16" s="30" t="n">
        <x:f>E16</x:f>
        <x:v>232500</x:v>
      </x:c>
      <x:c r="M16" s="30" t="n">
        <x:f>C16</x:f>
        <x:v>1000</x:v>
      </x:c>
      <x:c r="N16" s="30" t="n">
        <x:f>F16</x:f>
        <x:v>15000</x:v>
      </x:c>
      <x:c r="O16" s="30" t="n">
        <x:f>SUM(L16:N16)</x:f>
        <x:v>248500</x:v>
      </x:c>
    </x:row>
    <x:row r="17">
      <x:c r="A17" t="str">
        <x:v>Short Term Contract</x:v>
      </x:c>
      <x:c r="B17" s="33" t="n">
        <x:v>500000</x:v>
      </x:c>
      <x:c r="C17" s="30" t="n">
        <x:f>Inputs!$G$5</x:f>
        <x:v>1000</x:v>
      </x:c>
      <x:c r="D17" s="20" t="n">
        <x:f>Inputs!$G$4+VLOOKUP(I17,Inputs!$A$4:$B$7,2,FALSE)</x:f>
        <x:v>0.16999999999999998</x:v>
      </x:c>
      <x:c r="E17" s="30" t="n">
        <x:f>B17*D17*J17/Inputs!$G$8</x:f>
        <x:v>254999.99999999997</x:v>
      </x:c>
      <x:c r="F17" s="30" t="n">
        <x:f>B17*Inputs!$G$6</x:f>
        <x:v>15000</x:v>
      </x:c>
      <x:c r="G17" s="30" t="n">
        <x:f>E17</x:f>
        <x:v>254999.99999999997</x:v>
      </x:c>
      <x:c r="H17" s="30" t="n">
        <x:f>B17+E17</x:f>
        <x:v>755000</x:v>
      </x:c>
      <x:c r="I17" s="40" t="str">
        <x:v>Moderate Risk</x:v>
      </x:c>
      <x:c r="J17" s="32" t="n">
        <x:v>1095</x:v>
      </x:c>
      <x:c r="K17" s="30" t="n">
        <x:f>B17+C17+E17+F17</x:f>
        <x:v>771000</x:v>
      </x:c>
      <x:c r="L17" s="30" t="n">
        <x:f>E17</x:f>
        <x:v>254999.99999999997</x:v>
      </x:c>
      <x:c r="M17" s="30" t="n">
        <x:f>C17</x:f>
        <x:v>1000</x:v>
      </x:c>
      <x:c r="N17" s="30" t="n">
        <x:f>F17</x:f>
        <x:v>15000</x:v>
      </x:c>
      <x:c r="O17" s="30" t="n">
        <x:f>SUM(L17:N17)</x:f>
        <x:v>271000</x:v>
      </x:c>
    </x:row>
    <x:row r="18">
      <x:c r="A18" t="str">
        <x:v>Short Term Contract</x:v>
      </x:c>
      <x:c r="B18" s="33" t="n">
        <x:v>500000</x:v>
      </x:c>
      <x:c r="C18" s="30" t="n">
        <x:f>Inputs!$G$5</x:f>
        <x:v>1000</x:v>
      </x:c>
      <x:c r="D18" s="20" t="n">
        <x:f>Inputs!$G$4+VLOOKUP(I18,Inputs!$A$4:$B$7,2,FALSE)</x:f>
        <x:v>0.19</x:v>
      </x:c>
      <x:c r="E18" s="30" t="n">
        <x:f>B18*D18*J18/Inputs!$G$8</x:f>
        <x:v>285000</x:v>
      </x:c>
      <x:c r="F18" s="30" t="n">
        <x:f>B18*Inputs!$G$6</x:f>
        <x:v>15000</x:v>
      </x:c>
      <x:c r="G18" s="30" t="n">
        <x:f>E18</x:f>
        <x:v>285000</x:v>
      </x:c>
      <x:c r="H18" s="30" t="n">
        <x:f>B18+E18</x:f>
        <x:v>785000</x:v>
      </x:c>
      <x:c r="I18" s="40" t="str">
        <x:v>High Risk</x:v>
      </x:c>
      <x:c r="J18" s="32" t="n">
        <x:v>1095</x:v>
      </x:c>
      <x:c r="K18" s="30" t="n">
        <x:f>B18+C18+E18+F18</x:f>
        <x:v>801000</x:v>
      </x:c>
      <x:c r="L18" s="30" t="n">
        <x:f>E18</x:f>
        <x:v>285000</x:v>
      </x:c>
      <x:c r="M18" s="30" t="n">
        <x:f>C18</x:f>
        <x:v>1000</x:v>
      </x:c>
      <x:c r="N18" s="30" t="n">
        <x:f>F18</x:f>
        <x:v>15000</x:v>
      </x:c>
      <x:c r="O18" s="30" t="n">
        <x:f>SUM(L18:N18)</x:f>
        <x:v>301000</x:v>
      </x:c>
    </x:row>
    <x:row r="19">
      <x:c r="A19" t="str">
        <x:v>Short Term Contract</x:v>
      </x:c>
      <x:c r="B19" s="33" t="n">
        <x:v>500000</x:v>
      </x:c>
      <x:c r="C19" s="30" t="n">
        <x:f>Inputs!$G$5</x:f>
        <x:v>1000</x:v>
      </x:c>
      <x:c r="D19" s="20" t="n">
        <x:f>Inputs!$G$4+VLOOKUP(I19,Inputs!$A$4:$B$7,2,FALSE)</x:f>
        <x:v>0.21</x:v>
      </x:c>
      <x:c r="E19" s="30" t="n">
        <x:f>B19*D19*J19/Inputs!$G$8</x:f>
        <x:v>315000</x:v>
      </x:c>
      <x:c r="F19" s="30" t="n">
        <x:f>B19*Inputs!$G$6</x:f>
        <x:v>15000</x:v>
      </x:c>
      <x:c r="G19" s="30" t="n">
        <x:f>E19</x:f>
        <x:v>315000</x:v>
      </x:c>
      <x:c r="H19" s="30" t="n">
        <x:f>B19+E19</x:f>
        <x:v>815000</x:v>
      </x:c>
      <x:c r="I19" s="40" t="str">
        <x:v>Worst Scenario</x:v>
      </x:c>
      <x:c r="J19" s="32" t="n">
        <x:v>1095</x:v>
      </x:c>
      <x:c r="K19" s="30" t="n">
        <x:f>B19+C19+E19+F19</x:f>
        <x:v>831000</x:v>
      </x:c>
      <x:c r="L19" s="30" t="n">
        <x:f>E19</x:f>
        <x:v>315000</x:v>
      </x:c>
      <x:c r="M19" s="30" t="n">
        <x:f>C19</x:f>
        <x:v>1000</x:v>
      </x:c>
      <x:c r="N19" s="30" t="n">
        <x:f>F19</x:f>
        <x:v>15000</x:v>
      </x:c>
      <x:c r="O19" s="30" t="n">
        <x:f>SUM(L19:N19)</x:f>
        <x:v>331000</x:v>
      </x:c>
    </x:row>
    <x:row r="20">
      <x:c r="A20" t="str">
        <x:v>Short Term Contract</x:v>
      </x:c>
      <x:c r="B20" s="33" t="n">
        <x:v>750000</x:v>
      </x:c>
      <x:c r="C20" s="30" t="n">
        <x:f>Inputs!$G$5</x:f>
        <x:v>1000</x:v>
      </x:c>
      <x:c r="D20" s="20" t="n">
        <x:f>Inputs!$G$4+VLOOKUP(I20,Inputs!$A$4:$B$7,2,FALSE)</x:f>
        <x:v>0.155</x:v>
      </x:c>
      <x:c r="E20" s="30" t="n">
        <x:f>B20*D20*J20/Inputs!$G$8</x:f>
        <x:v>57328.767123287675</x:v>
      </x:c>
      <x:c r="F20" s="30" t="n">
        <x:f>B20*Inputs!$G$6</x:f>
        <x:v>22500</x:v>
      </x:c>
      <x:c r="G20" s="30" t="n">
        <x:f>E20</x:f>
        <x:v>57328.767123287675</x:v>
      </x:c>
      <x:c r="H20" s="30" t="n">
        <x:f>B20+E20</x:f>
        <x:v>807328.7671232877</x:v>
      </x:c>
      <x:c r="I20" s="40" t="str">
        <x:v>Low Risk</x:v>
      </x:c>
      <x:c r="J20" s="32" t="n">
        <x:v>180</x:v>
      </x:c>
      <x:c r="K20" s="30" t="n">
        <x:f>B20+C20+E20+F20</x:f>
        <x:v>830828.7671232877</x:v>
      </x:c>
      <x:c r="L20" s="30" t="n">
        <x:f>E20</x:f>
        <x:v>57328.767123287675</x:v>
      </x:c>
      <x:c r="M20" s="30" t="n">
        <x:f>C20</x:f>
        <x:v>1000</x:v>
      </x:c>
      <x:c r="N20" s="30" t="n">
        <x:f>F20</x:f>
        <x:v>22500</x:v>
      </x:c>
      <x:c r="O20" s="30" t="n">
        <x:f>SUM(L20:N20)</x:f>
        <x:v>80828.76712328767</x:v>
      </x:c>
    </x:row>
    <x:row r="21">
      <x:c r="A21" t="str">
        <x:v>Short Term Contract</x:v>
      </x:c>
      <x:c r="B21" s="33" t="n">
        <x:v>750000</x:v>
      </x:c>
      <x:c r="C21" s="30" t="n">
        <x:f>Inputs!$G$5</x:f>
        <x:v>1000</x:v>
      </x:c>
      <x:c r="D21" s="20" t="n">
        <x:f>Inputs!$G$4+VLOOKUP(I21,Inputs!$A$4:$B$7,2,FALSE)</x:f>
        <x:v>0.16999999999999998</x:v>
      </x:c>
      <x:c r="E21" s="30" t="n">
        <x:f>B21*D21*J21/Inputs!$G$8</x:f>
        <x:v>62876.71232876711</x:v>
      </x:c>
      <x:c r="F21" s="30" t="n">
        <x:f>B21*Inputs!$G$6</x:f>
        <x:v>22500</x:v>
      </x:c>
      <x:c r="G21" s="30" t="n">
        <x:f>E21</x:f>
        <x:v>62876.71232876711</x:v>
      </x:c>
      <x:c r="H21" s="30" t="n">
        <x:f>B21+E21</x:f>
        <x:v>812876.7123287672</x:v>
      </x:c>
      <x:c r="I21" s="40" t="str">
        <x:v>Moderate Risk</x:v>
      </x:c>
      <x:c r="J21" s="32" t="n">
        <x:v>180</x:v>
      </x:c>
      <x:c r="K21" s="30" t="n">
        <x:f>B21+C21+E21+F21</x:f>
        <x:v>836376.7123287672</x:v>
      </x:c>
      <x:c r="L21" s="30" t="n">
        <x:f>E21</x:f>
        <x:v>62876.71232876711</x:v>
      </x:c>
      <x:c r="M21" s="30" t="n">
        <x:f>C21</x:f>
        <x:v>1000</x:v>
      </x:c>
      <x:c r="N21" s="30" t="n">
        <x:f>F21</x:f>
        <x:v>22500</x:v>
      </x:c>
      <x:c r="O21" s="30" t="n">
        <x:f>SUM(L21:N21)</x:f>
        <x:v>86376.71232876711</x:v>
      </x:c>
    </x:row>
    <x:row r="22">
      <x:c r="A22" t="str">
        <x:v>Short Term Contract</x:v>
      </x:c>
      <x:c r="B22" s="33" t="n">
        <x:v>750000</x:v>
      </x:c>
      <x:c r="C22" s="30" t="n">
        <x:f>Inputs!$G$5</x:f>
        <x:v>1000</x:v>
      </x:c>
      <x:c r="D22" s="20" t="n">
        <x:f>Inputs!$G$4+VLOOKUP(I22,Inputs!$A$4:$B$7,2,FALSE)</x:f>
        <x:v>0.19</x:v>
      </x:c>
      <x:c r="E22" s="30" t="n">
        <x:f>B22*D22*J22/Inputs!$G$8</x:f>
        <x:v>70273.97260273973</x:v>
      </x:c>
      <x:c r="F22" s="30" t="n">
        <x:f>B22*Inputs!$G$6</x:f>
        <x:v>22500</x:v>
      </x:c>
      <x:c r="G22" s="30" t="n">
        <x:f>E22</x:f>
        <x:v>70273.97260273973</x:v>
      </x:c>
      <x:c r="H22" s="30" t="n">
        <x:f>B22+E22</x:f>
        <x:v>820273.9726027397</x:v>
      </x:c>
      <x:c r="I22" s="40" t="str">
        <x:v>High Risk</x:v>
      </x:c>
      <x:c r="J22" s="32" t="n">
        <x:v>180</x:v>
      </x:c>
      <x:c r="K22" s="30" t="n">
        <x:f>B22+C22+E22+F22</x:f>
        <x:v>843773.9726027397</x:v>
      </x:c>
      <x:c r="L22" s="30" t="n">
        <x:f>E22</x:f>
        <x:v>70273.97260273973</x:v>
      </x:c>
      <x:c r="M22" s="30" t="n">
        <x:f>C22</x:f>
        <x:v>1000</x:v>
      </x:c>
      <x:c r="N22" s="30" t="n">
        <x:f>F22</x:f>
        <x:v>22500</x:v>
      </x:c>
      <x:c r="O22" s="30" t="n">
        <x:f>SUM(L22:N22)</x:f>
        <x:v>93773.97260273973</x:v>
      </x:c>
    </x:row>
    <x:row r="23">
      <x:c r="A23" t="str">
        <x:v>Short Term Contract</x:v>
      </x:c>
      <x:c r="B23" s="33" t="n">
        <x:v>750000</x:v>
      </x:c>
      <x:c r="C23" s="30" t="n">
        <x:f>Inputs!$G$5</x:f>
        <x:v>1000</x:v>
      </x:c>
      <x:c r="D23" s="20" t="n">
        <x:f>Inputs!$G$4+VLOOKUP(I23,Inputs!$A$4:$B$7,2,FALSE)</x:f>
        <x:v>0.21</x:v>
      </x:c>
      <x:c r="E23" s="30" t="n">
        <x:f>B23*D23*J23/Inputs!$G$8</x:f>
        <x:v>77671.23287671233</x:v>
      </x:c>
      <x:c r="F23" s="30" t="n">
        <x:f>B23*Inputs!$G$6</x:f>
        <x:v>22500</x:v>
      </x:c>
      <x:c r="G23" s="30" t="n">
        <x:f>E23</x:f>
        <x:v>77671.23287671233</x:v>
      </x:c>
      <x:c r="H23" s="30" t="n">
        <x:f>B23+E23</x:f>
        <x:v>827671.2328767123</x:v>
      </x:c>
      <x:c r="I23" s="40" t="str">
        <x:v>Worst Scenario</x:v>
      </x:c>
      <x:c r="J23" s="32" t="n">
        <x:v>180</x:v>
      </x:c>
      <x:c r="K23" s="30" t="n">
        <x:f>B23+C23+E23+F23</x:f>
        <x:v>851171.2328767123</x:v>
      </x:c>
      <x:c r="L23" s="30" t="n">
        <x:f>E23</x:f>
        <x:v>77671.23287671233</x:v>
      </x:c>
      <x:c r="M23" s="30" t="n">
        <x:f>C23</x:f>
        <x:v>1000</x:v>
      </x:c>
      <x:c r="N23" s="30" t="n">
        <x:f>F23</x:f>
        <x:v>22500</x:v>
      </x:c>
      <x:c r="O23" s="30" t="n">
        <x:f>SUM(L23:N23)</x:f>
        <x:v>101171.23287671233</x:v>
      </x:c>
    </x:row>
    <x:row r="24">
      <x:c r="A24" t="str">
        <x:v>Short Term Contract</x:v>
      </x:c>
      <x:c r="B24" s="33" t="n">
        <x:v>750000</x:v>
      </x:c>
      <x:c r="C24" s="30" t="n">
        <x:f>Inputs!$G$5</x:f>
        <x:v>1000</x:v>
      </x:c>
      <x:c r="D24" s="20" t="n">
        <x:f>Inputs!$G$4+VLOOKUP(I24,Inputs!$A$4:$B$7,2,FALSE)</x:f>
        <x:v>0.155</x:v>
      </x:c>
      <x:c r="E24" s="30" t="n">
        <x:f>B24*D24*J24/Inputs!$G$8</x:f>
        <x:v>116250</x:v>
      </x:c>
      <x:c r="F24" s="30" t="n">
        <x:f>B24*Inputs!$G$6</x:f>
        <x:v>22500</x:v>
      </x:c>
      <x:c r="G24" s="30" t="n">
        <x:f>E24</x:f>
        <x:v>116250</x:v>
      </x:c>
      <x:c r="H24" s="30" t="n">
        <x:f>B24+E24</x:f>
        <x:v>866250</x:v>
      </x:c>
      <x:c r="I24" s="40" t="str">
        <x:v>Low Risk</x:v>
      </x:c>
      <x:c r="J24" s="32" t="n">
        <x:v>365</x:v>
      </x:c>
      <x:c r="K24" s="30" t="n">
        <x:f>B24+C24+E24+F24</x:f>
        <x:v>889750</x:v>
      </x:c>
      <x:c r="L24" s="30" t="n">
        <x:f>E24</x:f>
        <x:v>116250</x:v>
      </x:c>
      <x:c r="M24" s="30" t="n">
        <x:f>C24</x:f>
        <x:v>1000</x:v>
      </x:c>
      <x:c r="N24" s="30" t="n">
        <x:f>F24</x:f>
        <x:v>22500</x:v>
      </x:c>
      <x:c r="O24" s="30" t="n">
        <x:f>SUM(L24:N24)</x:f>
        <x:v>139750</x:v>
      </x:c>
    </x:row>
    <x:row r="25">
      <x:c r="A25" t="str">
        <x:v>Short Term Contract</x:v>
      </x:c>
      <x:c r="B25" s="33" t="n">
        <x:v>750000</x:v>
      </x:c>
      <x:c r="C25" s="30" t="n">
        <x:f>Inputs!$G$5</x:f>
        <x:v>1000</x:v>
      </x:c>
      <x:c r="D25" s="20" t="n">
        <x:f>Inputs!$G$4+VLOOKUP(I25,Inputs!$A$4:$B$7,2,FALSE)</x:f>
        <x:v>0.16999999999999998</x:v>
      </x:c>
      <x:c r="E25" s="30" t="n">
        <x:f>B25*D25*J25/Inputs!$G$8</x:f>
        <x:v>127499.99999999999</x:v>
      </x:c>
      <x:c r="F25" s="30" t="n">
        <x:f>B25*Inputs!$G$6</x:f>
        <x:v>22500</x:v>
      </x:c>
      <x:c r="G25" s="30" t="n">
        <x:f>E25</x:f>
        <x:v>127499.99999999999</x:v>
      </x:c>
      <x:c r="H25" s="30" t="n">
        <x:f>B25+E25</x:f>
        <x:v>877500</x:v>
      </x:c>
      <x:c r="I25" s="40" t="str">
        <x:v>Moderate Risk</x:v>
      </x:c>
      <x:c r="J25" s="32" t="n">
        <x:v>365</x:v>
      </x:c>
      <x:c r="K25" s="30" t="n">
        <x:f>B25+C25+E25+F25</x:f>
        <x:v>901000</x:v>
      </x:c>
      <x:c r="L25" s="30" t="n">
        <x:f>E25</x:f>
        <x:v>127499.99999999999</x:v>
      </x:c>
      <x:c r="M25" s="30" t="n">
        <x:f>C25</x:f>
        <x:v>1000</x:v>
      </x:c>
      <x:c r="N25" s="30" t="n">
        <x:f>F25</x:f>
        <x:v>22500</x:v>
      </x:c>
      <x:c r="O25" s="30" t="n">
        <x:f>SUM(L25:N25)</x:f>
        <x:v>151000</x:v>
      </x:c>
    </x:row>
    <x:row r="26">
      <x:c r="A26" t="str">
        <x:v>Short Term Contract</x:v>
      </x:c>
      <x:c r="B26" s="33" t="n">
        <x:v>750000</x:v>
      </x:c>
      <x:c r="C26" s="30" t="n">
        <x:f>Inputs!$G$5</x:f>
        <x:v>1000</x:v>
      </x:c>
      <x:c r="D26" s="20" t="n">
        <x:f>Inputs!$G$4+VLOOKUP(I26,Inputs!$A$4:$B$7,2,FALSE)</x:f>
        <x:v>0.19</x:v>
      </x:c>
      <x:c r="E26" s="30" t="n">
        <x:f>B26*D26*J26/Inputs!$G$8</x:f>
        <x:v>142500</x:v>
      </x:c>
      <x:c r="F26" s="30" t="n">
        <x:f>B26*Inputs!$G$6</x:f>
        <x:v>22500</x:v>
      </x:c>
      <x:c r="G26" s="30" t="n">
        <x:f>E26</x:f>
        <x:v>142500</x:v>
      </x:c>
      <x:c r="H26" s="30" t="n">
        <x:f>B26+E26</x:f>
        <x:v>892500</x:v>
      </x:c>
      <x:c r="I26" s="40" t="str">
        <x:v>High Risk</x:v>
      </x:c>
      <x:c r="J26" s="32" t="n">
        <x:v>365</x:v>
      </x:c>
      <x:c r="K26" s="30" t="n">
        <x:f>B26+C26+E26+F26</x:f>
        <x:v>916000</x:v>
      </x:c>
      <x:c r="L26" s="30" t="n">
        <x:f>E26</x:f>
        <x:v>142500</x:v>
      </x:c>
      <x:c r="M26" s="30" t="n">
        <x:f>C26</x:f>
        <x:v>1000</x:v>
      </x:c>
      <x:c r="N26" s="30" t="n">
        <x:f>F26</x:f>
        <x:v>22500</x:v>
      </x:c>
      <x:c r="O26" s="30" t="n">
        <x:f>SUM(L26:N26)</x:f>
        <x:v>166000</x:v>
      </x:c>
    </x:row>
    <x:row r="27">
      <x:c r="A27" t="str">
        <x:v>Short Term Contract</x:v>
      </x:c>
      <x:c r="B27" s="33" t="n">
        <x:v>750000</x:v>
      </x:c>
      <x:c r="C27" s="30" t="n">
        <x:f>Inputs!$G$5</x:f>
        <x:v>1000</x:v>
      </x:c>
      <x:c r="D27" s="20" t="n">
        <x:f>Inputs!$G$4+VLOOKUP(I27,Inputs!$A$4:$B$7,2,FALSE)</x:f>
        <x:v>0.21</x:v>
      </x:c>
      <x:c r="E27" s="30" t="n">
        <x:f>B27*D27*J27/Inputs!$G$8</x:f>
        <x:v>157500</x:v>
      </x:c>
      <x:c r="F27" s="30" t="n">
        <x:f>B27*Inputs!$G$6</x:f>
        <x:v>22500</x:v>
      </x:c>
      <x:c r="G27" s="30" t="n">
        <x:f>E27</x:f>
        <x:v>157500</x:v>
      </x:c>
      <x:c r="H27" s="30" t="n">
        <x:f>B27+E27</x:f>
        <x:v>907500</x:v>
      </x:c>
      <x:c r="I27" s="40" t="str">
        <x:v>Worst Scenario</x:v>
      </x:c>
      <x:c r="J27" s="32" t="n">
        <x:v>365</x:v>
      </x:c>
      <x:c r="K27" s="30" t="n">
        <x:f>B27+C27+E27+F27</x:f>
        <x:v>931000</x:v>
      </x:c>
      <x:c r="L27" s="30" t="n">
        <x:f>E27</x:f>
        <x:v>157500</x:v>
      </x:c>
      <x:c r="M27" s="30" t="n">
        <x:f>C27</x:f>
        <x:v>1000</x:v>
      </x:c>
      <x:c r="N27" s="30" t="n">
        <x:f>F27</x:f>
        <x:v>22500</x:v>
      </x:c>
      <x:c r="O27" s="30" t="n">
        <x:f>SUM(L27:N27)</x:f>
        <x:v>181000</x:v>
      </x:c>
    </x:row>
    <x:row r="28">
      <x:c r="A28" t="str">
        <x:v>Short Term Contract</x:v>
      </x:c>
      <x:c r="B28" s="33" t="n">
        <x:v>750000</x:v>
      </x:c>
      <x:c r="C28" s="30" t="n">
        <x:f>Inputs!$G$5</x:f>
        <x:v>1000</x:v>
      </x:c>
      <x:c r="D28" s="20" t="n">
        <x:f>Inputs!$G$4+VLOOKUP(I28,Inputs!$A$4:$B$7,2,FALSE)</x:f>
        <x:v>0.155</x:v>
      </x:c>
      <x:c r="E28" s="30" t="n">
        <x:f>B28*D28*J28/Inputs!$G$8</x:f>
        <x:v>232500</x:v>
      </x:c>
      <x:c r="F28" s="30" t="n">
        <x:f>B28*Inputs!$G$6</x:f>
        <x:v>22500</x:v>
      </x:c>
      <x:c r="G28" s="30" t="n">
        <x:f>E28</x:f>
        <x:v>232500</x:v>
      </x:c>
      <x:c r="H28" s="30" t="n">
        <x:f>B28+E28</x:f>
        <x:v>982500</x:v>
      </x:c>
      <x:c r="I28" s="40" t="str">
        <x:v>Low Risk</x:v>
      </x:c>
      <x:c r="J28" s="32" t="n">
        <x:v>730</x:v>
      </x:c>
      <x:c r="K28" s="30" t="n">
        <x:f>B28+C28+E28+F28</x:f>
        <x:v>1006000</x:v>
      </x:c>
      <x:c r="L28" s="30" t="n">
        <x:f>E28</x:f>
        <x:v>232500</x:v>
      </x:c>
      <x:c r="M28" s="30" t="n">
        <x:f>C28</x:f>
        <x:v>1000</x:v>
      </x:c>
      <x:c r="N28" s="30" t="n">
        <x:f>F28</x:f>
        <x:v>22500</x:v>
      </x:c>
      <x:c r="O28" s="30" t="n">
        <x:f>SUM(L28:N28)</x:f>
        <x:v>256000</x:v>
      </x:c>
    </x:row>
    <x:row r="29">
      <x:c r="A29" t="str">
        <x:v>Short Term Contract</x:v>
      </x:c>
      <x:c r="B29" s="33" t="n">
        <x:v>750000</x:v>
      </x:c>
      <x:c r="C29" s="30" t="n">
        <x:f>Inputs!$G$5</x:f>
        <x:v>1000</x:v>
      </x:c>
      <x:c r="D29" s="20" t="n">
        <x:f>Inputs!$G$4+VLOOKUP(I29,Inputs!$A$4:$B$7,2,FALSE)</x:f>
        <x:v>0.16999999999999998</x:v>
      </x:c>
      <x:c r="E29" s="30" t="n">
        <x:f>B29*D29*J29/Inputs!$G$8</x:f>
        <x:v>254999.99999999997</x:v>
      </x:c>
      <x:c r="F29" s="30" t="n">
        <x:f>B29*Inputs!$G$6</x:f>
        <x:v>22500</x:v>
      </x:c>
      <x:c r="G29" s="30" t="n">
        <x:f>E29</x:f>
        <x:v>254999.99999999997</x:v>
      </x:c>
      <x:c r="H29" s="30" t="n">
        <x:f>B29+E29</x:f>
        <x:v>1005000</x:v>
      </x:c>
      <x:c r="I29" s="40" t="str">
        <x:v>Moderate Risk</x:v>
      </x:c>
      <x:c r="J29" s="32" t="n">
        <x:v>730</x:v>
      </x:c>
      <x:c r="K29" s="30" t="n">
        <x:f>B29+C29+E29+F29</x:f>
        <x:v>1028500</x:v>
      </x:c>
      <x:c r="L29" s="30" t="n">
        <x:f>E29</x:f>
        <x:v>254999.99999999997</x:v>
      </x:c>
      <x:c r="M29" s="30" t="n">
        <x:f>C29</x:f>
        <x:v>1000</x:v>
      </x:c>
      <x:c r="N29" s="30" t="n">
        <x:f>F29</x:f>
        <x:v>22500</x:v>
      </x:c>
      <x:c r="O29" s="30" t="n">
        <x:f>SUM(L29:N29)</x:f>
        <x:v>278500</x:v>
      </x:c>
    </x:row>
    <x:row r="30">
      <x:c r="A30" t="str">
        <x:v>Short Term Contract</x:v>
      </x:c>
      <x:c r="B30" s="33" t="n">
        <x:v>750000</x:v>
      </x:c>
      <x:c r="C30" s="30" t="n">
        <x:f>Inputs!$G$5</x:f>
        <x:v>1000</x:v>
      </x:c>
      <x:c r="D30" s="20" t="n">
        <x:f>Inputs!$G$4+VLOOKUP(I30,Inputs!$A$4:$B$7,2,FALSE)</x:f>
        <x:v>0.19</x:v>
      </x:c>
      <x:c r="E30" s="30" t="n">
        <x:f>B30*D30*J30/Inputs!$G$8</x:f>
        <x:v>285000</x:v>
      </x:c>
      <x:c r="F30" s="30" t="n">
        <x:f>B30*Inputs!$G$6</x:f>
        <x:v>22500</x:v>
      </x:c>
      <x:c r="G30" s="30" t="n">
        <x:f>E30</x:f>
        <x:v>285000</x:v>
      </x:c>
      <x:c r="H30" s="30" t="n">
        <x:f>B30+E30</x:f>
        <x:v>1035000</x:v>
      </x:c>
      <x:c r="I30" s="40" t="str">
        <x:v>High Risk</x:v>
      </x:c>
      <x:c r="J30" s="32" t="n">
        <x:v>730</x:v>
      </x:c>
      <x:c r="K30" s="30" t="n">
        <x:f>B30+C30+E30+F30</x:f>
        <x:v>1058500</x:v>
      </x:c>
      <x:c r="L30" s="30" t="n">
        <x:f>E30</x:f>
        <x:v>285000</x:v>
      </x:c>
      <x:c r="M30" s="30" t="n">
        <x:f>C30</x:f>
        <x:v>1000</x:v>
      </x:c>
      <x:c r="N30" s="30" t="n">
        <x:f>F30</x:f>
        <x:v>22500</x:v>
      </x:c>
      <x:c r="O30" s="30" t="n">
        <x:f>SUM(L30:N30)</x:f>
        <x:v>308500</x:v>
      </x:c>
    </x:row>
    <x:row r="31">
      <x:c r="A31" t="str">
        <x:v>Short Term Contract</x:v>
      </x:c>
      <x:c r="B31" s="33" t="n">
        <x:v>750000</x:v>
      </x:c>
      <x:c r="C31" s="30" t="n">
        <x:f>Inputs!$G$5</x:f>
        <x:v>1000</x:v>
      </x:c>
      <x:c r="D31" s="20" t="n">
        <x:f>Inputs!$G$4+VLOOKUP(I31,Inputs!$A$4:$B$7,2,FALSE)</x:f>
        <x:v>0.21</x:v>
      </x:c>
      <x:c r="E31" s="30" t="n">
        <x:f>B31*D31*J31/Inputs!$G$8</x:f>
        <x:v>315000</x:v>
      </x:c>
      <x:c r="F31" s="30" t="n">
        <x:f>B31*Inputs!$G$6</x:f>
        <x:v>22500</x:v>
      </x:c>
      <x:c r="G31" s="30" t="n">
        <x:f>E31</x:f>
        <x:v>315000</x:v>
      </x:c>
      <x:c r="H31" s="30" t="n">
        <x:f>B31+E31</x:f>
        <x:v>1065000</x:v>
      </x:c>
      <x:c r="I31" s="40" t="str">
        <x:v>Worst Scenario</x:v>
      </x:c>
      <x:c r="J31" s="32" t="n">
        <x:v>730</x:v>
      </x:c>
      <x:c r="K31" s="30" t="n">
        <x:f>B31+C31+E31+F31</x:f>
        <x:v>1088500</x:v>
      </x:c>
      <x:c r="L31" s="30" t="n">
        <x:f>E31</x:f>
        <x:v>315000</x:v>
      </x:c>
      <x:c r="M31" s="30" t="n">
        <x:f>C31</x:f>
        <x:v>1000</x:v>
      </x:c>
      <x:c r="N31" s="30" t="n">
        <x:f>F31</x:f>
        <x:v>22500</x:v>
      </x:c>
      <x:c r="O31" s="30" t="n">
        <x:f>SUM(L31:N31)</x:f>
        <x:v>338500</x:v>
      </x:c>
    </x:row>
    <x:row r="32">
      <x:c r="A32" t="str">
        <x:v>Short Term Contract</x:v>
      </x:c>
      <x:c r="B32" s="33" t="n">
        <x:v>750000</x:v>
      </x:c>
      <x:c r="C32" s="30" t="n">
        <x:f>Inputs!$G$5</x:f>
        <x:v>1000</x:v>
      </x:c>
      <x:c r="D32" s="20" t="n">
        <x:f>Inputs!$G$4+VLOOKUP(I32,Inputs!$A$4:$B$7,2,FALSE)</x:f>
        <x:v>0.155</x:v>
      </x:c>
      <x:c r="E32" s="30" t="n">
        <x:f>B32*D32*J32/Inputs!$G$8</x:f>
        <x:v>348750</x:v>
      </x:c>
      <x:c r="F32" s="30" t="n">
        <x:f>B32*Inputs!$G$6</x:f>
        <x:v>22500</x:v>
      </x:c>
      <x:c r="G32" s="30" t="n">
        <x:f>E32</x:f>
        <x:v>348750</x:v>
      </x:c>
      <x:c r="H32" s="30" t="n">
        <x:f>B32+E32</x:f>
        <x:v>1098750</x:v>
      </x:c>
      <x:c r="I32" s="40" t="str">
        <x:v>Low Risk</x:v>
      </x:c>
      <x:c r="J32" s="32" t="n">
        <x:v>1095</x:v>
      </x:c>
      <x:c r="K32" s="30" t="n">
        <x:f>B32+C32+E32+F32</x:f>
        <x:v>1122250</x:v>
      </x:c>
      <x:c r="L32" s="30" t="n">
        <x:f>E32</x:f>
        <x:v>348750</x:v>
      </x:c>
      <x:c r="M32" s="30" t="n">
        <x:f>C32</x:f>
        <x:v>1000</x:v>
      </x:c>
      <x:c r="N32" s="30" t="n">
        <x:f>F32</x:f>
        <x:v>22500</x:v>
      </x:c>
      <x:c r="O32" s="30" t="n">
        <x:f>SUM(L32:N32)</x:f>
        <x:v>372250</x:v>
      </x:c>
    </x:row>
    <x:row r="33">
      <x:c r="A33" t="str">
        <x:v>Short Term Contract</x:v>
      </x:c>
      <x:c r="B33" s="33" t="n">
        <x:v>750000</x:v>
      </x:c>
      <x:c r="C33" s="30" t="n">
        <x:f>Inputs!$G$5</x:f>
        <x:v>1000</x:v>
      </x:c>
      <x:c r="D33" s="20" t="n">
        <x:f>Inputs!$G$4+VLOOKUP(I33,Inputs!$A$4:$B$7,2,FALSE)</x:f>
        <x:v>0.16999999999999998</x:v>
      </x:c>
      <x:c r="E33" s="30" t="n">
        <x:f>B33*D33*J33/Inputs!$G$8</x:f>
        <x:v>382499.99999999994</x:v>
      </x:c>
      <x:c r="F33" s="30" t="n">
        <x:f>B33*Inputs!$G$6</x:f>
        <x:v>22500</x:v>
      </x:c>
      <x:c r="G33" s="30" t="n">
        <x:f>E33</x:f>
        <x:v>382499.99999999994</x:v>
      </x:c>
      <x:c r="H33" s="30" t="n">
        <x:f>B33+E33</x:f>
        <x:v>1132500</x:v>
      </x:c>
      <x:c r="I33" s="40" t="str">
        <x:v>Moderate Risk</x:v>
      </x:c>
      <x:c r="J33" s="32" t="n">
        <x:v>1095</x:v>
      </x:c>
      <x:c r="K33" s="30" t="n">
        <x:f>B33+C33+E33+F33</x:f>
        <x:v>1156000</x:v>
      </x:c>
      <x:c r="L33" s="30" t="n">
        <x:f>E33</x:f>
        <x:v>382499.99999999994</x:v>
      </x:c>
      <x:c r="M33" s="30" t="n">
        <x:f>C33</x:f>
        <x:v>1000</x:v>
      </x:c>
      <x:c r="N33" s="30" t="n">
        <x:f>F33</x:f>
        <x:v>22500</x:v>
      </x:c>
      <x:c r="O33" s="30" t="n">
        <x:f>SUM(L33:N33)</x:f>
        <x:v>405999.99999999994</x:v>
      </x:c>
    </x:row>
    <x:row r="34">
      <x:c r="A34" t="str">
        <x:v>Short Term Contract</x:v>
      </x:c>
      <x:c r="B34" s="33" t="n">
        <x:v>750000</x:v>
      </x:c>
      <x:c r="C34" s="30" t="n">
        <x:f>Inputs!$G$5</x:f>
        <x:v>1000</x:v>
      </x:c>
      <x:c r="D34" s="20" t="n">
        <x:f>Inputs!$G$4+VLOOKUP(I34,Inputs!$A$4:$B$7,2,FALSE)</x:f>
        <x:v>0.19</x:v>
      </x:c>
      <x:c r="E34" s="30" t="n">
        <x:f>B34*D34*J34/Inputs!$G$8</x:f>
        <x:v>427500</x:v>
      </x:c>
      <x:c r="F34" s="30" t="n">
        <x:f>B34*Inputs!$G$6</x:f>
        <x:v>22500</x:v>
      </x:c>
      <x:c r="G34" s="30" t="n">
        <x:f>E34</x:f>
        <x:v>427500</x:v>
      </x:c>
      <x:c r="H34" s="30" t="n">
        <x:f>B34+E34</x:f>
        <x:v>1177500</x:v>
      </x:c>
      <x:c r="I34" s="40" t="str">
        <x:v>High Risk</x:v>
      </x:c>
      <x:c r="J34" s="32" t="n">
        <x:v>1095</x:v>
      </x:c>
      <x:c r="K34" s="30" t="n">
        <x:f>B34+C34+E34+F34</x:f>
        <x:v>1201000</x:v>
      </x:c>
      <x:c r="L34" s="30" t="n">
        <x:f>E34</x:f>
        <x:v>427500</x:v>
      </x:c>
      <x:c r="M34" s="30" t="n">
        <x:f>C34</x:f>
        <x:v>1000</x:v>
      </x:c>
      <x:c r="N34" s="30" t="n">
        <x:f>F34</x:f>
        <x:v>22500</x:v>
      </x:c>
      <x:c r="O34" s="30" t="n">
        <x:f>SUM(L34:N34)</x:f>
        <x:v>451000</x:v>
      </x:c>
    </x:row>
    <x:row r="35">
      <x:c r="A35" t="str">
        <x:v>Short Term Contract</x:v>
      </x:c>
      <x:c r="B35" s="33" t="n">
        <x:v>750000</x:v>
      </x:c>
      <x:c r="C35" s="30" t="n">
        <x:f>Inputs!$G$5</x:f>
        <x:v>1000</x:v>
      </x:c>
      <x:c r="D35" s="20" t="n">
        <x:f>Inputs!$G$4+VLOOKUP(I35,Inputs!$A$4:$B$7,2,FALSE)</x:f>
        <x:v>0.21</x:v>
      </x:c>
      <x:c r="E35" s="30" t="n">
        <x:f>B35*D35*J35/Inputs!$G$8</x:f>
        <x:v>472500</x:v>
      </x:c>
      <x:c r="F35" s="30" t="n">
        <x:f>B35*Inputs!$G$6</x:f>
        <x:v>22500</x:v>
      </x:c>
      <x:c r="G35" s="30" t="n">
        <x:f>E35</x:f>
        <x:v>472500</x:v>
      </x:c>
      <x:c r="H35" s="30" t="n">
        <x:f>B35+E35</x:f>
        <x:v>1222500</x:v>
      </x:c>
      <x:c r="I35" s="40" t="str">
        <x:v>Worst Scenario</x:v>
      </x:c>
      <x:c r="J35" s="32" t="n">
        <x:v>1095</x:v>
      </x:c>
      <x:c r="K35" s="30" t="n">
        <x:f>B35+C35+E35+F35</x:f>
        <x:v>1246000</x:v>
      </x:c>
      <x:c r="L35" s="30" t="n">
        <x:f>E35</x:f>
        <x:v>472500</x:v>
      </x:c>
      <x:c r="M35" s="30" t="n">
        <x:f>C35</x:f>
        <x:v>1000</x:v>
      </x:c>
      <x:c r="N35" s="30" t="n">
        <x:f>F35</x:f>
        <x:v>22500</x:v>
      </x:c>
      <x:c r="O35" s="30" t="n">
        <x:f>SUM(L35:N35)</x:f>
        <x:v>496000</x:v>
      </x:c>
    </x:row>
    <x:row r="36">
      <x:c r="A36" t="str">
        <x:v>Short Term Contract</x:v>
      </x:c>
      <x:c r="B36" s="33" t="n">
        <x:v>1000000</x:v>
      </x:c>
      <x:c r="C36" s="30" t="n">
        <x:f>Inputs!$G$5</x:f>
        <x:v>1000</x:v>
      </x:c>
      <x:c r="D36" s="20" t="n">
        <x:f>Inputs!$G$4+VLOOKUP(I36,Inputs!$A$4:$B$7,2,FALSE)</x:f>
        <x:v>0.155</x:v>
      </x:c>
      <x:c r="E36" s="30" t="n">
        <x:f>B36*D36*J36/Inputs!$G$8</x:f>
        <x:v>76438.35616438356</x:v>
      </x:c>
      <x:c r="F36" s="30" t="n">
        <x:f>B36*Inputs!$G$6</x:f>
        <x:v>30000</x:v>
      </x:c>
      <x:c r="G36" s="30" t="n">
        <x:f>E36</x:f>
        <x:v>76438.35616438356</x:v>
      </x:c>
      <x:c r="H36" s="30" t="n">
        <x:f>B36+E36</x:f>
        <x:v>1076438.3561643835</x:v>
      </x:c>
      <x:c r="I36" s="40" t="str">
        <x:v>Low Risk</x:v>
      </x:c>
      <x:c r="J36" s="32" t="n">
        <x:v>180</x:v>
      </x:c>
      <x:c r="K36" s="30" t="n">
        <x:f>B36+C36+E36+F36</x:f>
        <x:v>1107438.3561643835</x:v>
      </x:c>
      <x:c r="L36" s="30" t="n">
        <x:f>E36</x:f>
        <x:v>76438.35616438356</x:v>
      </x:c>
      <x:c r="M36" s="30" t="n">
        <x:f>C36</x:f>
        <x:v>1000</x:v>
      </x:c>
      <x:c r="N36" s="30" t="n">
        <x:f>F36</x:f>
        <x:v>30000</x:v>
      </x:c>
      <x:c r="O36" s="30" t="n">
        <x:f>SUM(L36:N36)</x:f>
        <x:v>107438.35616438356</x:v>
      </x:c>
    </x:row>
    <x:row r="37">
      <x:c r="A37" t="str">
        <x:v>Short Term Contract</x:v>
      </x:c>
      <x:c r="B37" s="33" t="n">
        <x:v>1000000</x:v>
      </x:c>
      <x:c r="C37" s="30" t="n">
        <x:f>Inputs!$G$5</x:f>
        <x:v>1000</x:v>
      </x:c>
      <x:c r="D37" s="20" t="n">
        <x:f>Inputs!$G$4+VLOOKUP(I37,Inputs!$A$4:$B$7,2,FALSE)</x:f>
        <x:v>0.16999999999999998</x:v>
      </x:c>
      <x:c r="E37" s="30" t="n">
        <x:f>B37*D37*J37/Inputs!$G$8</x:f>
        <x:v>83835.61643835616</x:v>
      </x:c>
      <x:c r="F37" s="30" t="n">
        <x:f>B37*Inputs!$G$6</x:f>
        <x:v>30000</x:v>
      </x:c>
      <x:c r="G37" s="30" t="n">
        <x:f>E37</x:f>
        <x:v>83835.61643835616</x:v>
      </x:c>
      <x:c r="H37" s="30" t="n">
        <x:f>B37+E37</x:f>
        <x:v>1083835.6164383562</x:v>
      </x:c>
      <x:c r="I37" s="40" t="str">
        <x:v>Moderate Risk</x:v>
      </x:c>
      <x:c r="J37" s="32" t="n">
        <x:v>180</x:v>
      </x:c>
      <x:c r="K37" s="30" t="n">
        <x:f>B37+C37+E37+F37</x:f>
        <x:v>1114835.6164383562</x:v>
      </x:c>
      <x:c r="L37" s="30" t="n">
        <x:f>E37</x:f>
        <x:v>83835.61643835616</x:v>
      </x:c>
      <x:c r="M37" s="30" t="n">
        <x:f>C37</x:f>
        <x:v>1000</x:v>
      </x:c>
      <x:c r="N37" s="30" t="n">
        <x:f>F37</x:f>
        <x:v>30000</x:v>
      </x:c>
      <x:c r="O37" s="30" t="n">
        <x:f>SUM(L37:N37)</x:f>
        <x:v>114835.61643835616</x:v>
      </x:c>
    </x:row>
    <x:row r="38">
      <x:c r="A38" t="str">
        <x:v>Short Term Contract</x:v>
      </x:c>
      <x:c r="B38" s="33" t="n">
        <x:v>1000000</x:v>
      </x:c>
      <x:c r="C38" s="30" t="n">
        <x:f>Inputs!$G$5</x:f>
        <x:v>1000</x:v>
      </x:c>
      <x:c r="D38" s="20" t="n">
        <x:f>Inputs!$G$4+VLOOKUP(I38,Inputs!$A$4:$B$7,2,FALSE)</x:f>
        <x:v>0.19</x:v>
      </x:c>
      <x:c r="E38" s="30" t="n">
        <x:f>B38*D38*J38/Inputs!$G$8</x:f>
        <x:v>93698.6301369863</x:v>
      </x:c>
      <x:c r="F38" s="30" t="n">
        <x:f>B38*Inputs!$G$6</x:f>
        <x:v>30000</x:v>
      </x:c>
      <x:c r="G38" s="30" t="n">
        <x:f>E38</x:f>
        <x:v>93698.6301369863</x:v>
      </x:c>
      <x:c r="H38" s="30" t="n">
        <x:f>B38+E38</x:f>
        <x:v>1093698.6301369863</x:v>
      </x:c>
      <x:c r="I38" s="40" t="str">
        <x:v>High Risk</x:v>
      </x:c>
      <x:c r="J38" s="32" t="n">
        <x:v>180</x:v>
      </x:c>
      <x:c r="K38" s="30" t="n">
        <x:f>B38+C38+E38+F38</x:f>
        <x:v>1124698.6301369863</x:v>
      </x:c>
      <x:c r="L38" s="30" t="n">
        <x:f>E38</x:f>
        <x:v>93698.6301369863</x:v>
      </x:c>
      <x:c r="M38" s="30" t="n">
        <x:f>C38</x:f>
        <x:v>1000</x:v>
      </x:c>
      <x:c r="N38" s="30" t="n">
        <x:f>F38</x:f>
        <x:v>30000</x:v>
      </x:c>
      <x:c r="O38" s="30" t="n">
        <x:f>SUM(L38:N38)</x:f>
        <x:v>124698.6301369863</x:v>
      </x:c>
    </x:row>
    <x:row r="39">
      <x:c r="A39" t="str">
        <x:v>Short Term Contract</x:v>
      </x:c>
      <x:c r="B39" s="33" t="n">
        <x:v>1000000</x:v>
      </x:c>
      <x:c r="C39" s="30" t="n">
        <x:f>Inputs!$G$5</x:f>
        <x:v>1000</x:v>
      </x:c>
      <x:c r="D39" s="20" t="n">
        <x:f>Inputs!$G$4+VLOOKUP(I39,Inputs!$A$4:$B$7,2,FALSE)</x:f>
        <x:v>0.21</x:v>
      </x:c>
      <x:c r="E39" s="30" t="n">
        <x:f>B39*D39*J39/Inputs!$G$8</x:f>
        <x:v>103561.64383561644</x:v>
      </x:c>
      <x:c r="F39" s="30" t="n">
        <x:f>B39*Inputs!$G$6</x:f>
        <x:v>30000</x:v>
      </x:c>
      <x:c r="G39" s="30" t="n">
        <x:f>E39</x:f>
        <x:v>103561.64383561644</x:v>
      </x:c>
      <x:c r="H39" s="30" t="n">
        <x:f>B39+E39</x:f>
        <x:v>1103561.6438356165</x:v>
      </x:c>
      <x:c r="I39" s="40" t="str">
        <x:v>Worst Scenario</x:v>
      </x:c>
      <x:c r="J39" s="32" t="n">
        <x:v>180</x:v>
      </x:c>
      <x:c r="K39" s="30" t="n">
        <x:f>B39+C39+E39+F39</x:f>
        <x:v>1134561.6438356165</x:v>
      </x:c>
      <x:c r="L39" s="30" t="n">
        <x:f>E39</x:f>
        <x:v>103561.64383561644</x:v>
      </x:c>
      <x:c r="M39" s="30" t="n">
        <x:f>C39</x:f>
        <x:v>1000</x:v>
      </x:c>
      <x:c r="N39" s="30" t="n">
        <x:f>F39</x:f>
        <x:v>30000</x:v>
      </x:c>
      <x:c r="O39" s="30" t="n">
        <x:f>SUM(L39:N39)</x:f>
        <x:v>134561.64383561644</x:v>
      </x:c>
    </x:row>
    <x:row r="40">
      <x:c r="A40" t="str">
        <x:v>Short Term Contract</x:v>
      </x:c>
      <x:c r="B40" s="33" t="n">
        <x:v>1000000</x:v>
      </x:c>
      <x:c r="C40" s="30" t="n">
        <x:f>Inputs!$G$5</x:f>
        <x:v>1000</x:v>
      </x:c>
      <x:c r="D40" s="20" t="n">
        <x:f>Inputs!$G$4+VLOOKUP(I40,Inputs!$A$4:$B$7,2,FALSE)</x:f>
        <x:v>0.155</x:v>
      </x:c>
      <x:c r="E40" s="30" t="n">
        <x:f>B40*D40*J40/Inputs!$G$8</x:f>
        <x:v>155000</x:v>
      </x:c>
      <x:c r="F40" s="30" t="n">
        <x:f>B40*Inputs!$G$6</x:f>
        <x:v>30000</x:v>
      </x:c>
      <x:c r="G40" s="30" t="n">
        <x:f>E40</x:f>
        <x:v>155000</x:v>
      </x:c>
      <x:c r="H40" s="30" t="n">
        <x:f>B40+E40</x:f>
        <x:v>1155000</x:v>
      </x:c>
      <x:c r="I40" s="40" t="str">
        <x:v>Low Risk</x:v>
      </x:c>
      <x:c r="J40" s="32" t="n">
        <x:v>365</x:v>
      </x:c>
      <x:c r="K40" s="30" t="n">
        <x:f>B40+C40+E40+F40</x:f>
        <x:v>1186000</x:v>
      </x:c>
      <x:c r="L40" s="30" t="n">
        <x:f>E40</x:f>
        <x:v>155000</x:v>
      </x:c>
      <x:c r="M40" s="30" t="n">
        <x:f>C40</x:f>
        <x:v>1000</x:v>
      </x:c>
      <x:c r="N40" s="30" t="n">
        <x:f>F40</x:f>
        <x:v>30000</x:v>
      </x:c>
      <x:c r="O40" s="30" t="n">
        <x:f>SUM(L40:N40)</x:f>
        <x:v>186000</x:v>
      </x:c>
    </x:row>
    <x:row r="41">
      <x:c r="A41" t="str">
        <x:v>Short Term Contract</x:v>
      </x:c>
      <x:c r="B41" s="33" t="n">
        <x:v>1000000</x:v>
      </x:c>
      <x:c r="C41" s="30" t="n">
        <x:f>Inputs!$G$5</x:f>
        <x:v>1000</x:v>
      </x:c>
      <x:c r="D41" s="20" t="n">
        <x:f>Inputs!$G$4+VLOOKUP(I41,Inputs!$A$4:$B$7,2,FALSE)</x:f>
        <x:v>0.16999999999999998</x:v>
      </x:c>
      <x:c r="E41" s="30" t="n">
        <x:f>B41*D41*J41/Inputs!$G$8</x:f>
        <x:v>169999.99999999997</x:v>
      </x:c>
      <x:c r="F41" s="30" t="n">
        <x:f>B41*Inputs!$G$6</x:f>
        <x:v>30000</x:v>
      </x:c>
      <x:c r="G41" s="30" t="n">
        <x:f>E41</x:f>
        <x:v>169999.99999999997</x:v>
      </x:c>
      <x:c r="H41" s="30" t="n">
        <x:f>B41+E41</x:f>
        <x:v>1170000</x:v>
      </x:c>
      <x:c r="I41" s="40" t="str">
        <x:v>Moderate Risk</x:v>
      </x:c>
      <x:c r="J41" s="32" t="n">
        <x:v>365</x:v>
      </x:c>
      <x:c r="K41" s="30" t="n">
        <x:f>B41+C41+E41+F41</x:f>
        <x:v>1201000</x:v>
      </x:c>
      <x:c r="L41" s="30" t="n">
        <x:f>E41</x:f>
        <x:v>169999.99999999997</x:v>
      </x:c>
      <x:c r="M41" s="30" t="n">
        <x:f>C41</x:f>
        <x:v>1000</x:v>
      </x:c>
      <x:c r="N41" s="30" t="n">
        <x:f>F41</x:f>
        <x:v>30000</x:v>
      </x:c>
      <x:c r="O41" s="30" t="n">
        <x:f>SUM(L41:N41)</x:f>
        <x:v>200999.99999999997</x:v>
      </x:c>
    </x:row>
    <x:row r="42">
      <x:c r="A42" t="str">
        <x:v>Short Term Contract</x:v>
      </x:c>
      <x:c r="B42" s="33" t="n">
        <x:v>1000000</x:v>
      </x:c>
      <x:c r="C42" s="30" t="n">
        <x:f>Inputs!$G$5</x:f>
        <x:v>1000</x:v>
      </x:c>
      <x:c r="D42" s="20" t="n">
        <x:f>Inputs!$G$4+VLOOKUP(I42,Inputs!$A$4:$B$7,2,FALSE)</x:f>
        <x:v>0.19</x:v>
      </x:c>
      <x:c r="E42" s="30" t="n">
        <x:f>B42*D42*J42/Inputs!$G$8</x:f>
        <x:v>190000</x:v>
      </x:c>
      <x:c r="F42" s="30" t="n">
        <x:f>B42*Inputs!$G$6</x:f>
        <x:v>30000</x:v>
      </x:c>
      <x:c r="G42" s="30" t="n">
        <x:f>E42</x:f>
        <x:v>190000</x:v>
      </x:c>
      <x:c r="H42" s="30" t="n">
        <x:f>B42+E42</x:f>
        <x:v>1190000</x:v>
      </x:c>
      <x:c r="I42" s="40" t="str">
        <x:v>High Risk</x:v>
      </x:c>
      <x:c r="J42" s="32" t="n">
        <x:v>365</x:v>
      </x:c>
      <x:c r="K42" s="30" t="n">
        <x:f>B42+C42+E42+F42</x:f>
        <x:v>1221000</x:v>
      </x:c>
      <x:c r="L42" s="30" t="n">
        <x:f>E42</x:f>
        <x:v>190000</x:v>
      </x:c>
      <x:c r="M42" s="30" t="n">
        <x:f>C42</x:f>
        <x:v>1000</x:v>
      </x:c>
      <x:c r="N42" s="30" t="n">
        <x:f>F42</x:f>
        <x:v>30000</x:v>
      </x:c>
      <x:c r="O42" s="30" t="n">
        <x:f>SUM(L42:N42)</x:f>
        <x:v>221000</x:v>
      </x:c>
    </x:row>
    <x:row r="43">
      <x:c r="A43" t="str">
        <x:v>Short Term Contract</x:v>
      </x:c>
      <x:c r="B43" s="33" t="n">
        <x:v>1000000</x:v>
      </x:c>
      <x:c r="C43" s="30" t="n">
        <x:f>Inputs!$G$5</x:f>
        <x:v>1000</x:v>
      </x:c>
      <x:c r="D43" s="20" t="n">
        <x:f>Inputs!$G$4+VLOOKUP(I43,Inputs!$A$4:$B$7,2,FALSE)</x:f>
        <x:v>0.21</x:v>
      </x:c>
      <x:c r="E43" s="30" t="n">
        <x:f>B43*D43*J43/Inputs!$G$8</x:f>
        <x:v>210000</x:v>
      </x:c>
      <x:c r="F43" s="30" t="n">
        <x:f>B43*Inputs!$G$6</x:f>
        <x:v>30000</x:v>
      </x:c>
      <x:c r="G43" s="30" t="n">
        <x:f>E43</x:f>
        <x:v>210000</x:v>
      </x:c>
      <x:c r="H43" s="30" t="n">
        <x:f>B43+E43</x:f>
        <x:v>1210000</x:v>
      </x:c>
      <x:c r="I43" s="40" t="str">
        <x:v>Worst Scenario</x:v>
      </x:c>
      <x:c r="J43" s="32" t="n">
        <x:v>365</x:v>
      </x:c>
      <x:c r="K43" s="30" t="n">
        <x:f>B43+C43+E43+F43</x:f>
        <x:v>1241000</x:v>
      </x:c>
      <x:c r="L43" s="30" t="n">
        <x:f>E43</x:f>
        <x:v>210000</x:v>
      </x:c>
      <x:c r="M43" s="30" t="n">
        <x:f>C43</x:f>
        <x:v>1000</x:v>
      </x:c>
      <x:c r="N43" s="30" t="n">
        <x:f>F43</x:f>
        <x:v>30000</x:v>
      </x:c>
      <x:c r="O43" s="30" t="n">
        <x:f>SUM(L43:N43)</x:f>
        <x:v>241000</x:v>
      </x:c>
    </x:row>
    <x:row r="44">
      <x:c r="A44" t="str">
        <x:v>Short Term Contract</x:v>
      </x:c>
      <x:c r="B44" s="33" t="n">
        <x:v>1000000</x:v>
      </x:c>
      <x:c r="C44" s="30" t="n">
        <x:f>Inputs!$G$5</x:f>
        <x:v>1000</x:v>
      </x:c>
      <x:c r="D44" s="20" t="n">
        <x:f>Inputs!$G$4+VLOOKUP(I44,Inputs!$A$4:$B$7,2,FALSE)</x:f>
        <x:v>0.155</x:v>
      </x:c>
      <x:c r="E44" s="30" t="n">
        <x:f>B44*D44*J44/Inputs!$G$8</x:f>
        <x:v>310000</x:v>
      </x:c>
      <x:c r="F44" s="30" t="n">
        <x:f>B44*Inputs!$G$6</x:f>
        <x:v>30000</x:v>
      </x:c>
      <x:c r="G44" s="30" t="n">
        <x:f>E44</x:f>
        <x:v>310000</x:v>
      </x:c>
      <x:c r="H44" s="30" t="n">
        <x:f>B44+E44</x:f>
        <x:v>1310000</x:v>
      </x:c>
      <x:c r="I44" s="40" t="str">
        <x:v>Low Risk</x:v>
      </x:c>
      <x:c r="J44" s="32" t="n">
        <x:v>730</x:v>
      </x:c>
      <x:c r="K44" s="30" t="n">
        <x:f>B44+C44+E44+F44</x:f>
        <x:v>1341000</x:v>
      </x:c>
      <x:c r="L44" s="30" t="n">
        <x:f>E44</x:f>
        <x:v>310000</x:v>
      </x:c>
      <x:c r="M44" s="30" t="n">
        <x:f>C44</x:f>
        <x:v>1000</x:v>
      </x:c>
      <x:c r="N44" s="30" t="n">
        <x:f>F44</x:f>
        <x:v>30000</x:v>
      </x:c>
      <x:c r="O44" s="30" t="n">
        <x:f>SUM(L44:N44)</x:f>
        <x:v>341000</x:v>
      </x:c>
    </x:row>
    <x:row r="45">
      <x:c r="A45" t="str">
        <x:v>Short Term Contract</x:v>
      </x:c>
      <x:c r="B45" s="33" t="n">
        <x:v>1000000</x:v>
      </x:c>
      <x:c r="C45" s="30" t="n">
        <x:f>Inputs!$G$5</x:f>
        <x:v>1000</x:v>
      </x:c>
      <x:c r="D45" s="20" t="n">
        <x:f>Inputs!$G$4+VLOOKUP(I45,Inputs!$A$4:$B$7,2,FALSE)</x:f>
        <x:v>0.16999999999999998</x:v>
      </x:c>
      <x:c r="E45" s="30" t="n">
        <x:f>B45*D45*J45/Inputs!$G$8</x:f>
        <x:v>339999.99999999994</x:v>
      </x:c>
      <x:c r="F45" s="30" t="n">
        <x:f>B45*Inputs!$G$6</x:f>
        <x:v>30000</x:v>
      </x:c>
      <x:c r="G45" s="30" t="n">
        <x:f>E45</x:f>
        <x:v>339999.99999999994</x:v>
      </x:c>
      <x:c r="H45" s="30" t="n">
        <x:f>B45+E45</x:f>
        <x:v>1340000</x:v>
      </x:c>
      <x:c r="I45" s="40" t="str">
        <x:v>Moderate Risk</x:v>
      </x:c>
      <x:c r="J45" s="32" t="n">
        <x:v>730</x:v>
      </x:c>
      <x:c r="K45" s="30" t="n">
        <x:f>B45+C45+E45+F45</x:f>
        <x:v>1371000</x:v>
      </x:c>
      <x:c r="L45" s="30" t="n">
        <x:f>E45</x:f>
        <x:v>339999.99999999994</x:v>
      </x:c>
      <x:c r="M45" s="30" t="n">
        <x:f>C45</x:f>
        <x:v>1000</x:v>
      </x:c>
      <x:c r="N45" s="30" t="n">
        <x:f>F45</x:f>
        <x:v>30000</x:v>
      </x:c>
      <x:c r="O45" s="30" t="n">
        <x:f>SUM(L45:N45)</x:f>
        <x:v>370999.99999999994</x:v>
      </x:c>
    </x:row>
    <x:row r="46">
      <x:c r="A46" t="str">
        <x:v>Short Term Contract</x:v>
      </x:c>
      <x:c r="B46" s="33" t="n">
        <x:v>1000000</x:v>
      </x:c>
      <x:c r="C46" s="30" t="n">
        <x:f>Inputs!$G$5</x:f>
        <x:v>1000</x:v>
      </x:c>
      <x:c r="D46" s="20" t="n">
        <x:f>Inputs!$G$4+VLOOKUP(I46,Inputs!$A$4:$B$7,2,FALSE)</x:f>
        <x:v>0.19</x:v>
      </x:c>
      <x:c r="E46" s="30" t="n">
        <x:f>B46*D46*J46/Inputs!$G$8</x:f>
        <x:v>380000</x:v>
      </x:c>
      <x:c r="F46" s="30" t="n">
        <x:f>B46*Inputs!$G$6</x:f>
        <x:v>30000</x:v>
      </x:c>
      <x:c r="G46" s="30" t="n">
        <x:f>E46</x:f>
        <x:v>380000</x:v>
      </x:c>
      <x:c r="H46" s="30" t="n">
        <x:f>B46+E46</x:f>
        <x:v>1380000</x:v>
      </x:c>
      <x:c r="I46" s="40" t="str">
        <x:v>High Risk</x:v>
      </x:c>
      <x:c r="J46" s="32" t="n">
        <x:v>730</x:v>
      </x:c>
      <x:c r="K46" s="30" t="n">
        <x:f>B46+C46+E46+F46</x:f>
        <x:v>1411000</x:v>
      </x:c>
      <x:c r="L46" s="30" t="n">
        <x:f>E46</x:f>
        <x:v>380000</x:v>
      </x:c>
      <x:c r="M46" s="30" t="n">
        <x:f>C46</x:f>
        <x:v>1000</x:v>
      </x:c>
      <x:c r="N46" s="30" t="n">
        <x:f>F46</x:f>
        <x:v>30000</x:v>
      </x:c>
      <x:c r="O46" s="30" t="n">
        <x:f>SUM(L46:N46)</x:f>
        <x:v>411000</x:v>
      </x:c>
    </x:row>
    <x:row r="47">
      <x:c r="A47" t="str">
        <x:v>Short Term Contract</x:v>
      </x:c>
      <x:c r="B47" s="33" t="n">
        <x:v>1000000</x:v>
      </x:c>
      <x:c r="C47" s="30" t="n">
        <x:f>Inputs!$G$5</x:f>
        <x:v>1000</x:v>
      </x:c>
      <x:c r="D47" s="20" t="n">
        <x:f>Inputs!$G$4+VLOOKUP(I47,Inputs!$A$4:$B$7,2,FALSE)</x:f>
        <x:v>0.21</x:v>
      </x:c>
      <x:c r="E47" s="30" t="n">
        <x:f>B47*D47*J47/Inputs!$G$8</x:f>
        <x:v>420000</x:v>
      </x:c>
      <x:c r="F47" s="30" t="n">
        <x:f>B47*Inputs!$G$6</x:f>
        <x:v>30000</x:v>
      </x:c>
      <x:c r="G47" s="30" t="n">
        <x:f>E47</x:f>
        <x:v>420000</x:v>
      </x:c>
      <x:c r="H47" s="30" t="n">
        <x:f>B47+E47</x:f>
        <x:v>1420000</x:v>
      </x:c>
      <x:c r="I47" s="40" t="str">
        <x:v>Worst Scenario</x:v>
      </x:c>
      <x:c r="J47" s="32" t="n">
        <x:v>730</x:v>
      </x:c>
      <x:c r="K47" s="30" t="n">
        <x:f>B47+C47+E47+F47</x:f>
        <x:v>1451000</x:v>
      </x:c>
      <x:c r="L47" s="30" t="n">
        <x:f>E47</x:f>
        <x:v>420000</x:v>
      </x:c>
      <x:c r="M47" s="30" t="n">
        <x:f>C47</x:f>
        <x:v>1000</x:v>
      </x:c>
      <x:c r="N47" s="30" t="n">
        <x:f>F47</x:f>
        <x:v>30000</x:v>
      </x:c>
      <x:c r="O47" s="30" t="n">
        <x:f>SUM(L47:N47)</x:f>
        <x:v>451000</x:v>
      </x:c>
    </x:row>
    <x:row r="48">
      <x:c r="A48" t="str">
        <x:v>Short Term Contract</x:v>
      </x:c>
      <x:c r="B48" s="33" t="n">
        <x:v>1000000</x:v>
      </x:c>
      <x:c r="C48" s="30" t="n">
        <x:f>Inputs!$G$5</x:f>
        <x:v>1000</x:v>
      </x:c>
      <x:c r="D48" s="20" t="n">
        <x:f>Inputs!$G$4+VLOOKUP(I48,Inputs!$A$4:$B$7,2,FALSE)</x:f>
        <x:v>0.155</x:v>
      </x:c>
      <x:c r="E48" s="30" t="n">
        <x:f>B48*D48*J48/Inputs!$G$8</x:f>
        <x:v>465000</x:v>
      </x:c>
      <x:c r="F48" s="30" t="n">
        <x:f>B48*Inputs!$G$6</x:f>
        <x:v>30000</x:v>
      </x:c>
      <x:c r="G48" s="30" t="n">
        <x:f>E48</x:f>
        <x:v>465000</x:v>
      </x:c>
      <x:c r="H48" s="30" t="n">
        <x:f>B48+E48</x:f>
        <x:v>1465000</x:v>
      </x:c>
      <x:c r="I48" s="40" t="str">
        <x:v>Low Risk</x:v>
      </x:c>
      <x:c r="J48" s="32" t="n">
        <x:v>1095</x:v>
      </x:c>
      <x:c r="K48" s="30" t="n">
        <x:f>B48+C48+E48+F48</x:f>
        <x:v>1496000</x:v>
      </x:c>
      <x:c r="L48" s="30" t="n">
        <x:f>E48</x:f>
        <x:v>465000</x:v>
      </x:c>
      <x:c r="M48" s="30" t="n">
        <x:f>C48</x:f>
        <x:v>1000</x:v>
      </x:c>
      <x:c r="N48" s="30" t="n">
        <x:f>F48</x:f>
        <x:v>30000</x:v>
      </x:c>
      <x:c r="O48" s="30" t="n">
        <x:f>SUM(L48:N48)</x:f>
        <x:v>496000</x:v>
      </x:c>
    </x:row>
    <x:row r="49">
      <x:c r="A49" t="str">
        <x:v>Short Term Contract</x:v>
      </x:c>
      <x:c r="B49" s="33" t="n">
        <x:v>1000000</x:v>
      </x:c>
      <x:c r="C49" s="30" t="n">
        <x:f>Inputs!$G$5</x:f>
        <x:v>1000</x:v>
      </x:c>
      <x:c r="D49" s="20" t="n">
        <x:f>Inputs!$G$4+VLOOKUP(I49,Inputs!$A$4:$B$7,2,FALSE)</x:f>
        <x:v>0.16999999999999998</x:v>
      </x:c>
      <x:c r="E49" s="30" t="n">
        <x:f>B49*D49*J49/Inputs!$G$8</x:f>
        <x:v>509999.99999999994</x:v>
      </x:c>
      <x:c r="F49" s="30" t="n">
        <x:f>B49*Inputs!$G$6</x:f>
        <x:v>30000</x:v>
      </x:c>
      <x:c r="G49" s="30" t="n">
        <x:f>E49</x:f>
        <x:v>509999.99999999994</x:v>
      </x:c>
      <x:c r="H49" s="30" t="n">
        <x:f>B49+E49</x:f>
        <x:v>1510000</x:v>
      </x:c>
      <x:c r="I49" s="40" t="str">
        <x:v>Moderate Risk</x:v>
      </x:c>
      <x:c r="J49" s="32" t="n">
        <x:v>1095</x:v>
      </x:c>
      <x:c r="K49" s="30" t="n">
        <x:f>B49+C49+E49+F49</x:f>
        <x:v>1541000</x:v>
      </x:c>
      <x:c r="L49" s="30" t="n">
        <x:f>E49</x:f>
        <x:v>509999.99999999994</x:v>
      </x:c>
      <x:c r="M49" s="30" t="n">
        <x:f>C49</x:f>
        <x:v>1000</x:v>
      </x:c>
      <x:c r="N49" s="30" t="n">
        <x:f>F49</x:f>
        <x:v>30000</x:v>
      </x:c>
      <x:c r="O49" s="30" t="n">
        <x:f>SUM(L49:N49)</x:f>
        <x:v>541000</x:v>
      </x:c>
    </x:row>
    <x:row r="50">
      <x:c r="A50" t="str">
        <x:v>Short Term Contract</x:v>
      </x:c>
      <x:c r="B50" s="33" t="n">
        <x:v>1000000</x:v>
      </x:c>
      <x:c r="C50" s="30" t="n">
        <x:f>Inputs!$G$5</x:f>
        <x:v>1000</x:v>
      </x:c>
      <x:c r="D50" s="20" t="n">
        <x:f>Inputs!$G$4+VLOOKUP(I50,Inputs!$A$4:$B$7,2,FALSE)</x:f>
        <x:v>0.19</x:v>
      </x:c>
      <x:c r="E50" s="30" t="n">
        <x:f>B50*D50*J50/Inputs!$G$8</x:f>
        <x:v>570000</x:v>
      </x:c>
      <x:c r="F50" s="30" t="n">
        <x:f>B50*Inputs!$G$6</x:f>
        <x:v>30000</x:v>
      </x:c>
      <x:c r="G50" s="30" t="n">
        <x:f>E50</x:f>
        <x:v>570000</x:v>
      </x:c>
      <x:c r="H50" s="30" t="n">
        <x:f>B50+E50</x:f>
        <x:v>1570000</x:v>
      </x:c>
      <x:c r="I50" s="40" t="str">
        <x:v>High Risk</x:v>
      </x:c>
      <x:c r="J50" s="32" t="n">
        <x:v>1095</x:v>
      </x:c>
      <x:c r="K50" s="30" t="n">
        <x:f>B50+C50+E50+F50</x:f>
        <x:v>1601000</x:v>
      </x:c>
      <x:c r="L50" s="30" t="n">
        <x:f>E50</x:f>
        <x:v>570000</x:v>
      </x:c>
      <x:c r="M50" s="30" t="n">
        <x:f>C50</x:f>
        <x:v>1000</x:v>
      </x:c>
      <x:c r="N50" s="30" t="n">
        <x:f>F50</x:f>
        <x:v>30000</x:v>
      </x:c>
      <x:c r="O50" s="30" t="n">
        <x:f>SUM(L50:N50)</x:f>
        <x:v>601000</x:v>
      </x:c>
    </x:row>
    <x:row r="51">
      <x:c r="A51" t="str">
        <x:v>Short Term Contract</x:v>
      </x:c>
      <x:c r="B51" s="33" t="n">
        <x:v>1000000</x:v>
      </x:c>
      <x:c r="C51" s="30" t="n">
        <x:f>Inputs!$G$5</x:f>
        <x:v>1000</x:v>
      </x:c>
      <x:c r="D51" s="20" t="n">
        <x:f>Inputs!$G$4+VLOOKUP(I51,Inputs!$A$4:$B$7,2,FALSE)</x:f>
        <x:v>0.21</x:v>
      </x:c>
      <x:c r="E51" s="30" t="n">
        <x:f>B51*D51*J51/Inputs!$G$8</x:f>
        <x:v>630000</x:v>
      </x:c>
      <x:c r="F51" s="30" t="n">
        <x:f>B51*Inputs!$G$6</x:f>
        <x:v>30000</x:v>
      </x:c>
      <x:c r="G51" s="30" t="n">
        <x:f>E51</x:f>
        <x:v>630000</x:v>
      </x:c>
      <x:c r="H51" s="30" t="n">
        <x:f>B51+E51</x:f>
        <x:v>1630000</x:v>
      </x:c>
      <x:c r="I51" s="40" t="str">
        <x:v>Worst Scenario</x:v>
      </x:c>
      <x:c r="J51" s="32" t="n">
        <x:v>1095</x:v>
      </x:c>
      <x:c r="K51" s="30" t="n">
        <x:f>B51+C51+E51+F51</x:f>
        <x:v>1661000</x:v>
      </x:c>
      <x:c r="L51" s="30" t="n">
        <x:f>E51</x:f>
        <x:v>630000</x:v>
      </x:c>
      <x:c r="M51" s="30" t="n">
        <x:f>C51</x:f>
        <x:v>1000</x:v>
      </x:c>
      <x:c r="N51" s="30" t="n">
        <x:f>F51</x:f>
        <x:v>30000</x:v>
      </x:c>
      <x:c r="O51" s="30" t="n">
        <x:f>SUM(L51:N51)</x:f>
        <x:v>661000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627783f1b1394d18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16" hidden="0" customWidth="1"/>
    <x:col min="3" max="3" width="19" hidden="0" customWidth="1"/>
    <x:col min="4" max="4" width="14" hidden="0" customWidth="1"/>
    <x:col min="5" max="5" width="28" hidden="0" customWidth="1"/>
    <x:col min="6" max="6" width="22" hidden="0" customWidth="1"/>
    <x:col min="7" max="7" width="15" hidden="0" customWidth="1"/>
    <x:col min="8" max="8" width="12" hidden="0" customWidth="1"/>
    <x:col min="9" max="9" width="18" hidden="0" customWidth="1"/>
    <x:col min="10" max="10" width="18" hidden="0" customWidth="1"/>
    <x:col min="11" max="11" width="18" hidden="0" customWidth="1"/>
    <x:col min="12" max="12" width="20" hidden="0" customWidth="1"/>
    <x:col min="13" max="13" width="18" hidden="0" customWidth="1"/>
    <x:col min="14" max="14" width="25" hidden="0" customWidth="1"/>
    <x:col min="15" max="15" width="18" hidden="0" customWidth="1"/>
    <x:col min="16" max="16" width="14" hidden="0" customWidth="1"/>
    <x:col min="17" max="17" width="16" hidden="0" customWidth="1"/>
    <x:col min="18" max="18" width="24" hidden="0" customWidth="1"/>
    <x:col min="19" max="19" width="20" hidden="0" customWidth="1"/>
    <x:col min="20" max="20" width="26" hidden="0" customWidth="1"/>
    <x:col min="21" max="21" width="22" hidden="0" customWidth="1"/>
    <x:col min="22" max="22" width="22" hidden="0" customWidth="1"/>
    <x:col min="23" max="23" width="22" hidden="0" customWidth="1"/>
    <x:col min="24" max="24" width="22" hidden="0" customWidth="1"/>
    <x:col min="25" max="25" width="22" hidden="0" customWidth="1"/>
  </x:cols>
  <x:sheetData>
    <x:row r="1">
      <x:c r="A1" s="5" t="str">
        <x:v>PRDF Late Payment Scenarios – Only Overdue Accounts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</x:row>
    <x:row r="2">
      <x:c r="A2" s="72" t="str">
        <x:v>Confirmed LMS rule: Initiation Fee = flat R1,000 once off. Interest = Principal × annual rate ÷ 365 × days. Penalty = (Principal + accrued interest) × 2% × (Days Late ÷ 30). Total Revenue / Money Earned from Client = Interest + Initiation Fee + Management Fee + Penalty. Capital/principal is excluded from lender revenue.</x:v>
      </x:c>
      <x:c r="B2" s="72"/>
      <x:c r="C2" s="72"/>
      <x:c r="D2" s="72"/>
      <x:c r="E2" s="72"/>
      <x:c r="F2" s="72"/>
      <x:c r="G2" s="72"/>
      <x:c r="H2" s="72"/>
      <x:c r="I2" s="72"/>
      <x:c r="J2" s="72"/>
      <x:c r="K2" s="72"/>
      <x:c r="L2" s="72"/>
      <x:c r="M2" s="72"/>
      <x:c r="N2" s="72"/>
      <x:c r="O2" s="72"/>
      <x:c r="P2" s="72"/>
      <x:c r="Q2" s="72"/>
      <x:c r="R2" s="72"/>
      <x:c r="S2" s="72"/>
      <x:c r="T2" s="72"/>
      <x:c r="U2" s="72"/>
      <x:c r="V2" s="72"/>
      <x:c r="W2" s="72"/>
      <x:c r="X2" s="72"/>
      <x:c r="Y2" s="72"/>
    </x:row>
    <x:row r="4">
      <x:c r="A4" s="49" t="str">
        <x:v>Product</x:v>
      </x:c>
      <x:c r="B4" s="49" t="str">
        <x:v>Loan Amount</x:v>
      </x:c>
      <x:c r="C4" s="49" t="str">
        <x:v>Initiation Fee (once off)</x:v>
      </x:c>
      <x:c r="D4" s="49" t="str">
        <x:v>Grade Rate</x:v>
      </x:c>
      <x:c r="E4" s="49" t="str">
        <x:v>Interest on Capital calculated on a daily basis</x:v>
      </x:c>
      <x:c r="F4" s="49" t="str">
        <x:v>Management Fee (once off)</x:v>
      </x:c>
      <x:c r="G4" s="49" t="str">
        <x:v>Ageing Bucket</x:v>
      </x:c>
      <x:c r="H4" s="49" t="str">
        <x:v>Days Late</x:v>
      </x:c>
      <x:c r="I4" s="49" t="str">
        <x:v>Monthly Penalty Rate</x:v>
      </x:c>
      <x:c r="J4" s="49" t="str">
        <x:v>Daily Penalty Rate</x:v>
      </x:c>
      <x:c r="K4" s="49" t="str">
        <x:v>Accumulated Penalty %</x:v>
      </x:c>
      <x:c r="L4" s="49" t="str">
        <x:v>Penalty Amount</x:v>
      </x:c>
      <x:c r="M4" s="49" t="str">
        <x:v>Total Interest</x:v>
      </x:c>
      <x:c r="N4" s="49" t="str">
        <x:v>Capital + Interest + Penalty = Total due to Funder</x:v>
      </x:c>
      <x:c r="O4" s="49" t="str">
        <x:v>Risk Grade</x:v>
      </x:c>
      <x:c r="P4" s="49" t="str">
        <x:v>Days Financed</x:v>
      </x:c>
      <x:c r="Q4" s="49" t="str">
        <x:v>Interest Rate p.a.</x:v>
      </x:c>
      <x:c r="R4" s="49" t="str">
        <x:v>Full Amount incl. Fees</x:v>
      </x:c>
      <x:c r="S4" s="49" t="str">
        <x:v>Daily Penalty Amount</x:v>
      </x:c>
      <x:c r="T4" s="63" t="str">
        <x:v>Total Charges Excluding Capital</x:v>
      </x:c>
      <x:c r="U4" s="71" t="str">
        <x:v>Interest Earned</x:v>
      </x:c>
      <x:c r="V4" s="71" t="str">
        <x:v>Initiation Fee Earned</x:v>
      </x:c>
      <x:c r="W4" s="71" t="str">
        <x:v>Management Fee Earned</x:v>
      </x:c>
      <x:c r="X4" s="71" t="str">
        <x:v>Penalty Income</x:v>
      </x:c>
      <x:c r="Y4" s="71" t="str">
        <x:v>Total Revenue / Money Earned from Client</x:v>
      </x:c>
    </x:row>
    <x:row r="5">
      <x:c r="A5" t="str">
        <x:v>Purchase Order Funding</x:v>
      </x:c>
      <x:c r="B5" s="30" t="n">
        <x:v>250000</x:v>
      </x:c>
      <x:c r="C5" s="30" t="n">
        <x:f>Inputs!$G$5</x:f>
        <x:v>1000</x:v>
      </x:c>
      <x:c r="D5" s="20" t="n">
        <x:f>Inputs!$G$4+VLOOKUP(M5,Inputs!$A$4:$B$7,2,FALSE)</x:f>
        <x:v>0.155</x:v>
      </x:c>
      <x:c r="E5" s="30" t="n">
        <x:f>B5*D5*N5/Inputs!$G$8</x:f>
        <x:v>9554.794520547945</x:v>
      </x:c>
      <x:c r="F5" s="30" t="n">
        <x:f>B5*Inputs!$G$6</x:f>
        <x:v>7500</x:v>
      </x:c>
      <x:c r="G5" t="str">
        <x:v>30 Days</x:v>
      </x:c>
      <x:c r="H5" s="28" t="n">
        <x:v>30</x:v>
      </x:c>
      <x:c r="I5" s="52" t="n">
        <x:f>Inputs!$G$7</x:f>
        <x:v>0.02</x:v>
      </x:c>
      <x:c r="J5" s="52" t="n">
        <x:f>I5/30</x:f>
        <x:v>0.0006666666666666666</x:v>
      </x:c>
      <x:c r="K5" s="52" t="n">
        <x:f>J5*H5</x:f>
        <x:v>0.02</x:v>
      </x:c>
      <x:c r="L5" s="30" t="n">
        <x:f>(B5+E5)*K5</x:f>
        <x:v>5191.095890410958</x:v>
      </x:c>
      <x:c r="M5" s="30" t="n">
        <x:f>E5</x:f>
        <x:v>9554.794520547945</x:v>
      </x:c>
      <x:c r="N5" s="30">
        <x:f>R5-C5-F5</x:f>
      </x:c>
      <x:c r="O5" s="20" t="str">
        <x:f>IF(ABS(D5-(Inputs!$G$4+Inputs!$B$4))&lt;0.000001,"Low Risk",IF(ABS(D5-(Inputs!$G$4+Inputs!$B$5))&lt;0.000001,"Moderate Risk",IF(ABS(D5-(Inputs!$G$4+Inputs!$B$6))&lt;0.000001,"High Risk","Worst Scenario")))</x:f>
        <x:v>Low Risk</x:v>
      </x:c>
      <x:c r="P5" s="28" t="n">
        <x:f>IF(A5="Purchase Order Funding",Inputs!$G$13,IF(B5=500000,180,IF(B5=750000,365,1095)))</x:f>
        <x:v>90</x:v>
      </x:c>
      <x:c r="Q5" s="20" t="n">
        <x:f>D5</x:f>
        <x:v>0.155</x:v>
      </x:c>
      <x:c r="R5" s="30" t="n">
        <x:f>B5+C5+E5+F5+L5</x:f>
        <x:v>273245.8904109589</x:v>
      </x:c>
      <x:c r="S5" s="30" t="n">
        <x:f>(B5+E5)*J5</x:f>
        <x:v>173.03652968036528</x:v>
      </x:c>
      <x:c r="T5" s="30" t="n">
        <x:f>C5+E5+F5+L5</x:f>
        <x:v>23245.890410958902</x:v>
      </x:c>
      <x:c r="U5" s="30" t="n">
        <x:f>E5</x:f>
        <x:v>9554.794520547945</x:v>
      </x:c>
      <x:c r="V5" s="30" t="n">
        <x:f>C5</x:f>
        <x:v>1000</x:v>
      </x:c>
      <x:c r="W5" s="30" t="n">
        <x:f>F5</x:f>
        <x:v>7500</x:v>
      </x:c>
      <x:c r="X5" s="30" t="n">
        <x:f>L5</x:f>
        <x:v>5191.095890410958</x:v>
      </x:c>
      <x:c r="Y5" s="30" t="n">
        <x:f>SUM(U5:X5)</x:f>
        <x:v>23245.890410958902</x:v>
      </x:c>
    </x:row>
    <x:row r="6">
      <x:c r="A6" t="str">
        <x:v>Purchase Order Funding</x:v>
      </x:c>
      <x:c r="B6" s="30" t="n">
        <x:v>250000</x:v>
      </x:c>
      <x:c r="C6" s="30" t="n">
        <x:f>Inputs!$G$5</x:f>
        <x:v>1000</x:v>
      </x:c>
      <x:c r="D6" s="20" t="n">
        <x:f>Inputs!$G$4+VLOOKUP(M6,Inputs!$A$4:$B$7,2,FALSE)</x:f>
        <x:v>0.155</x:v>
      </x:c>
      <x:c r="E6" s="30" t="n">
        <x:f>B6*D6*N6/Inputs!$G$8</x:f>
        <x:v>9554.794520547945</x:v>
      </x:c>
      <x:c r="F6" s="30" t="n">
        <x:f>B6*Inputs!$G$6</x:f>
        <x:v>7500</x:v>
      </x:c>
      <x:c r="G6" t="str">
        <x:v>60 Days</x:v>
      </x:c>
      <x:c r="H6" s="28" t="n">
        <x:v>60</x:v>
      </x:c>
      <x:c r="I6" s="52" t="n">
        <x:f>Inputs!$G$7</x:f>
        <x:v>0.02</x:v>
      </x:c>
      <x:c r="J6" s="52" t="n">
        <x:f>I6/30</x:f>
        <x:v>0.0006666666666666666</x:v>
      </x:c>
      <x:c r="K6" s="52" t="n">
        <x:f>J6*H6</x:f>
        <x:v>0.04</x:v>
      </x:c>
      <x:c r="L6" s="30" t="n">
        <x:f>(B6+E6)*K6</x:f>
        <x:v>10382.191780821917</x:v>
      </x:c>
      <x:c r="M6" s="30" t="n">
        <x:f>E6</x:f>
        <x:v>9554.794520547945</x:v>
      </x:c>
      <x:c r="N6" s="30">
        <x:f>R6-C6-F6</x:f>
      </x:c>
      <x:c r="O6" s="20" t="str">
        <x:f>IF(ABS(D6-(Inputs!$G$4+Inputs!$B$4))&lt;0.000001,"Low Risk",IF(ABS(D6-(Inputs!$G$4+Inputs!$B$5))&lt;0.000001,"Moderate Risk",IF(ABS(D6-(Inputs!$G$4+Inputs!$B$6))&lt;0.000001,"High Risk","Worst Scenario")))</x:f>
        <x:v>Low Risk</x:v>
      </x:c>
      <x:c r="P6" s="28" t="n">
        <x:f>IF(A6="Purchase Order Funding",Inputs!$G$13,IF(B6=500000,180,IF(B6=750000,365,1095)))</x:f>
        <x:v>90</x:v>
      </x:c>
      <x:c r="Q6" s="20" t="n">
        <x:f>D6</x:f>
        <x:v>0.155</x:v>
      </x:c>
      <x:c r="R6" s="30" t="n">
        <x:f>B6+C6+E6+F6+L6</x:f>
        <x:v>278436.9863013699</x:v>
      </x:c>
      <x:c r="S6" s="30" t="n">
        <x:f>(B6+E6)*J6</x:f>
        <x:v>173.03652968036528</x:v>
      </x:c>
      <x:c r="T6" s="30" t="n">
        <x:f>C6+E6+F6+L6</x:f>
        <x:v>28436.986301369863</x:v>
      </x:c>
      <x:c r="U6" s="30" t="n">
        <x:f>E6</x:f>
        <x:v>9554.794520547945</x:v>
      </x:c>
      <x:c r="V6" s="30" t="n">
        <x:f>C6</x:f>
        <x:v>1000</x:v>
      </x:c>
      <x:c r="W6" s="30" t="n">
        <x:f>F6</x:f>
        <x:v>7500</x:v>
      </x:c>
      <x:c r="X6" s="30" t="n">
        <x:f>L6</x:f>
        <x:v>10382.191780821917</x:v>
      </x:c>
      <x:c r="Y6" s="30" t="n">
        <x:f>SUM(U6:X6)</x:f>
        <x:v>28436.986301369863</x:v>
      </x:c>
    </x:row>
    <x:row r="7">
      <x:c r="A7" t="str">
        <x:v>Purchase Order Funding</x:v>
      </x:c>
      <x:c r="B7" s="30" t="n">
        <x:v>250000</x:v>
      </x:c>
      <x:c r="C7" s="30" t="n">
        <x:f>Inputs!$G$5</x:f>
        <x:v>1000</x:v>
      </x:c>
      <x:c r="D7" s="20" t="n">
        <x:f>Inputs!$G$4+VLOOKUP(M7,Inputs!$A$4:$B$7,2,FALSE)</x:f>
        <x:v>0.155</x:v>
      </x:c>
      <x:c r="E7" s="30" t="n">
        <x:f>B7*D7*N7/Inputs!$G$8</x:f>
        <x:v>9554.794520547945</x:v>
      </x:c>
      <x:c r="F7" s="30" t="n">
        <x:f>B7*Inputs!$G$6</x:f>
        <x:v>7500</x:v>
      </x:c>
      <x:c r="G7" t="str">
        <x:v>90 Days</x:v>
      </x:c>
      <x:c r="H7" s="28" t="n">
        <x:v>90</x:v>
      </x:c>
      <x:c r="I7" s="52" t="n">
        <x:f>Inputs!$G$7</x:f>
        <x:v>0.02</x:v>
      </x:c>
      <x:c r="J7" s="52" t="n">
        <x:f>I7/30</x:f>
        <x:v>0.0006666666666666666</x:v>
      </x:c>
      <x:c r="K7" s="52" t="n">
        <x:f>J7*H7</x:f>
        <x:v>0.06</x:v>
      </x:c>
      <x:c r="L7" s="30" t="n">
        <x:f>(B7+E7)*K7</x:f>
        <x:v>15573.287671232876</x:v>
      </x:c>
      <x:c r="M7" s="30" t="n">
        <x:f>E7</x:f>
        <x:v>9554.794520547945</x:v>
      </x:c>
      <x:c r="N7" s="30">
        <x:f>R7-C7-F7</x:f>
      </x:c>
      <x:c r="O7" s="20" t="str">
        <x:f>IF(ABS(D7-(Inputs!$G$4+Inputs!$B$4))&lt;0.000001,"Low Risk",IF(ABS(D7-(Inputs!$G$4+Inputs!$B$5))&lt;0.000001,"Moderate Risk",IF(ABS(D7-(Inputs!$G$4+Inputs!$B$6))&lt;0.000001,"High Risk","Worst Scenario")))</x:f>
        <x:v>Low Risk</x:v>
      </x:c>
      <x:c r="P7" s="28" t="n">
        <x:f>IF(A7="Purchase Order Funding",Inputs!$G$13,IF(B7=500000,180,IF(B7=750000,365,1095)))</x:f>
        <x:v>90</x:v>
      </x:c>
      <x:c r="Q7" s="20" t="n">
        <x:f>D7</x:f>
        <x:v>0.155</x:v>
      </x:c>
      <x:c r="R7" s="30" t="n">
        <x:f>B7+C7+E7+F7+L7</x:f>
        <x:v>283628.08219178085</x:v>
      </x:c>
      <x:c r="S7" s="30" t="n">
        <x:f>(B7+E7)*J7</x:f>
        <x:v>173.03652968036528</x:v>
      </x:c>
      <x:c r="T7" s="30" t="n">
        <x:f>C7+E7+F7+L7</x:f>
        <x:v>33628.08219178082</x:v>
      </x:c>
      <x:c r="U7" s="30" t="n">
        <x:f>E7</x:f>
        <x:v>9554.794520547945</x:v>
      </x:c>
      <x:c r="V7" s="30" t="n">
        <x:f>C7</x:f>
        <x:v>1000</x:v>
      </x:c>
      <x:c r="W7" s="30" t="n">
        <x:f>F7</x:f>
        <x:v>7500</x:v>
      </x:c>
      <x:c r="X7" s="30" t="n">
        <x:f>L7</x:f>
        <x:v>15573.287671232876</x:v>
      </x:c>
      <x:c r="Y7" s="30" t="n">
        <x:f>SUM(U7:X7)</x:f>
        <x:v>33628.08219178082</x:v>
      </x:c>
    </x:row>
    <x:row r="8">
      <x:c r="A8" t="str">
        <x:v>Purchase Order Funding</x:v>
      </x:c>
      <x:c r="B8" s="30" t="n">
        <x:v>250000</x:v>
      </x:c>
      <x:c r="C8" s="30" t="n">
        <x:f>Inputs!$G$5</x:f>
        <x:v>1000</x:v>
      </x:c>
      <x:c r="D8" s="20" t="n">
        <x:f>Inputs!$G$4+VLOOKUP(M8,Inputs!$A$4:$B$7,2,FALSE)</x:f>
        <x:v>0.155</x:v>
      </x:c>
      <x:c r="E8" s="30" t="n">
        <x:f>B8*D8*N8/Inputs!$G$8</x:f>
        <x:v>9554.794520547945</x:v>
      </x:c>
      <x:c r="F8" s="30" t="n">
        <x:f>B8*Inputs!$G$6</x:f>
        <x:v>7500</x:v>
      </x:c>
      <x:c r="G8" t="str">
        <x:v>120 Days</x:v>
      </x:c>
      <x:c r="H8" s="28" t="n">
        <x:v>120</x:v>
      </x:c>
      <x:c r="I8" s="52" t="n">
        <x:f>Inputs!$G$7</x:f>
        <x:v>0.02</x:v>
      </x:c>
      <x:c r="J8" s="52" t="n">
        <x:f>I8/30</x:f>
        <x:v>0.0006666666666666666</x:v>
      </x:c>
      <x:c r="K8" s="52" t="n">
        <x:f>J8*H8</x:f>
        <x:v>0.08</x:v>
      </x:c>
      <x:c r="L8" s="30" t="n">
        <x:f>(B8+E8)*K8</x:f>
        <x:v>20764.383561643834</x:v>
      </x:c>
      <x:c r="M8" s="30" t="n">
        <x:f>E8</x:f>
        <x:v>9554.794520547945</x:v>
      </x:c>
      <x:c r="N8" s="30">
        <x:f>R8-C8-F8</x:f>
      </x:c>
      <x:c r="O8" s="20" t="str">
        <x:f>IF(ABS(D8-(Inputs!$G$4+Inputs!$B$4))&lt;0.000001,"Low Risk",IF(ABS(D8-(Inputs!$G$4+Inputs!$B$5))&lt;0.000001,"Moderate Risk",IF(ABS(D8-(Inputs!$G$4+Inputs!$B$6))&lt;0.000001,"High Risk","Worst Scenario")))</x:f>
        <x:v>Low Risk</x:v>
      </x:c>
      <x:c r="P8" s="28" t="n">
        <x:f>IF(A8="Purchase Order Funding",Inputs!$G$13,IF(B8=500000,180,IF(B8=750000,365,1095)))</x:f>
        <x:v>90</x:v>
      </x:c>
      <x:c r="Q8" s="20" t="n">
        <x:f>D8</x:f>
        <x:v>0.155</x:v>
      </x:c>
      <x:c r="R8" s="30" t="n">
        <x:f>B8+C8+E8+F8+L8</x:f>
        <x:v>288819.1780821918</x:v>
      </x:c>
      <x:c r="S8" s="30" t="n">
        <x:f>(B8+E8)*J8</x:f>
        <x:v>173.03652968036528</x:v>
      </x:c>
      <x:c r="T8" s="30" t="n">
        <x:f>C8+E8+F8+L8</x:f>
        <x:v>38819.17808219178</x:v>
      </x:c>
      <x:c r="U8" s="30" t="n">
        <x:f>E8</x:f>
        <x:v>9554.794520547945</x:v>
      </x:c>
      <x:c r="V8" s="30" t="n">
        <x:f>C8</x:f>
        <x:v>1000</x:v>
      </x:c>
      <x:c r="W8" s="30" t="n">
        <x:f>F8</x:f>
        <x:v>7500</x:v>
      </x:c>
      <x:c r="X8" s="30" t="n">
        <x:f>L8</x:f>
        <x:v>20764.383561643834</x:v>
      </x:c>
      <x:c r="Y8" s="30" t="n">
        <x:f>SUM(U8:X8)</x:f>
        <x:v>38819.17808219178</x:v>
      </x:c>
    </x:row>
    <x:row r="9">
      <x:c r="A9" t="str">
        <x:v>Purchase Order Funding</x:v>
      </x:c>
      <x:c r="B9" s="30" t="n">
        <x:v>250000</x:v>
      </x:c>
      <x:c r="C9" s="30" t="n">
        <x:f>Inputs!$G$5</x:f>
        <x:v>1000</x:v>
      </x:c>
      <x:c r="D9" s="20" t="n">
        <x:f>Inputs!$G$4+VLOOKUP(M9,Inputs!$A$4:$B$7,2,FALSE)</x:f>
        <x:v>0.16999999999999998</x:v>
      </x:c>
      <x:c r="E9" s="30" t="n">
        <x:f>B9*D9*N9/Inputs!$G$8</x:f>
        <x:v>10479.45205479452</x:v>
      </x:c>
      <x:c r="F9" s="30" t="n">
        <x:f>B9*Inputs!$G$6</x:f>
        <x:v>7500</x:v>
      </x:c>
      <x:c r="G9" t="str">
        <x:v>30 Days</x:v>
      </x:c>
      <x:c r="H9" s="28" t="n">
        <x:v>30</x:v>
      </x:c>
      <x:c r="I9" s="52" t="n">
        <x:f>Inputs!$G$7</x:f>
        <x:v>0.02</x:v>
      </x:c>
      <x:c r="J9" s="52" t="n">
        <x:f>I9/30</x:f>
        <x:v>0.0006666666666666666</x:v>
      </x:c>
      <x:c r="K9" s="52" t="n">
        <x:f>J9*H9</x:f>
        <x:v>0.02</x:v>
      </x:c>
      <x:c r="L9" s="30" t="n">
        <x:f>(B9+E9)*K9</x:f>
        <x:v>5209.589041095891</x:v>
      </x:c>
      <x:c r="M9" s="30" t="n">
        <x:f>E9</x:f>
        <x:v>10479.45205479452</x:v>
      </x:c>
      <x:c r="N9" s="30">
        <x:f>R9-C9-F9</x:f>
      </x:c>
      <x:c r="O9" s="20" t="str">
        <x:f>IF(ABS(D9-(Inputs!$G$4+Inputs!$B$4))&lt;0.000001,"Low Risk",IF(ABS(D9-(Inputs!$G$4+Inputs!$B$5))&lt;0.000001,"Moderate Risk",IF(ABS(D9-(Inputs!$G$4+Inputs!$B$6))&lt;0.000001,"High Risk","Worst Scenario")))</x:f>
        <x:v>Moderate Risk</x:v>
      </x:c>
      <x:c r="P9" s="28" t="n">
        <x:f>IF(A9="Purchase Order Funding",Inputs!$G$13,IF(B9=500000,180,IF(B9=750000,365,1095)))</x:f>
        <x:v>90</x:v>
      </x:c>
      <x:c r="Q9" s="20" t="n">
        <x:f>D9</x:f>
        <x:v>0.16999999999999998</x:v>
      </x:c>
      <x:c r="R9" s="30" t="n">
        <x:f>B9+C9+E9+F9+L9</x:f>
        <x:v>274189.0410958904</x:v>
      </x:c>
      <x:c r="S9" s="30" t="n">
        <x:f>(B9+E9)*J9</x:f>
        <x:v>173.65296803652967</x:v>
      </x:c>
      <x:c r="T9" s="30" t="n">
        <x:f>C9+E9+F9+L9</x:f>
        <x:v>24189.04109589041</x:v>
      </x:c>
      <x:c r="U9" s="30" t="n">
        <x:f>E9</x:f>
        <x:v>10479.45205479452</x:v>
      </x:c>
      <x:c r="V9" s="30" t="n">
        <x:f>C9</x:f>
        <x:v>1000</x:v>
      </x:c>
      <x:c r="W9" s="30" t="n">
        <x:f>F9</x:f>
        <x:v>7500</x:v>
      </x:c>
      <x:c r="X9" s="30" t="n">
        <x:f>L9</x:f>
        <x:v>5209.589041095891</x:v>
      </x:c>
      <x:c r="Y9" s="30" t="n">
        <x:f>SUM(U9:X9)</x:f>
        <x:v>24189.04109589041</x:v>
      </x:c>
    </x:row>
    <x:row r="10">
      <x:c r="A10" t="str">
        <x:v>Purchase Order Funding</x:v>
      </x:c>
      <x:c r="B10" s="30" t="n">
        <x:v>250000</x:v>
      </x:c>
      <x:c r="C10" s="30" t="n">
        <x:f>Inputs!$G$5</x:f>
        <x:v>1000</x:v>
      </x:c>
      <x:c r="D10" s="20" t="n">
        <x:f>Inputs!$G$4+VLOOKUP(M10,Inputs!$A$4:$B$7,2,FALSE)</x:f>
        <x:v>0.16999999999999998</x:v>
      </x:c>
      <x:c r="E10" s="30" t="n">
        <x:f>B10*D10*N10/Inputs!$G$8</x:f>
        <x:v>10479.45205479452</x:v>
      </x:c>
      <x:c r="F10" s="30" t="n">
        <x:f>B10*Inputs!$G$6</x:f>
        <x:v>7500</x:v>
      </x:c>
      <x:c r="G10" t="str">
        <x:v>60 Days</x:v>
      </x:c>
      <x:c r="H10" s="28" t="n">
        <x:v>60</x:v>
      </x:c>
      <x:c r="I10" s="52" t="n">
        <x:f>Inputs!$G$7</x:f>
        <x:v>0.02</x:v>
      </x:c>
      <x:c r="J10" s="52" t="n">
        <x:f>I10/30</x:f>
        <x:v>0.0006666666666666666</x:v>
      </x:c>
      <x:c r="K10" s="52" t="n">
        <x:f>J10*H10</x:f>
        <x:v>0.04</x:v>
      </x:c>
      <x:c r="L10" s="30" t="n">
        <x:f>(B10+E10)*K10</x:f>
        <x:v>10419.178082191782</x:v>
      </x:c>
      <x:c r="M10" s="30" t="n">
        <x:f>E10</x:f>
        <x:v>10479.45205479452</x:v>
      </x:c>
      <x:c r="N10" s="30">
        <x:f>R10-C10-F10</x:f>
      </x:c>
      <x:c r="O10" s="20" t="str">
        <x:f>IF(ABS(D10-(Inputs!$G$4+Inputs!$B$4))&lt;0.000001,"Low Risk",IF(ABS(D10-(Inputs!$G$4+Inputs!$B$5))&lt;0.000001,"Moderate Risk",IF(ABS(D10-(Inputs!$G$4+Inputs!$B$6))&lt;0.000001,"High Risk","Worst Scenario")))</x:f>
        <x:v>Moderate Risk</x:v>
      </x:c>
      <x:c r="P10" s="28" t="n">
        <x:f>IF(A10="Purchase Order Funding",Inputs!$G$13,IF(B10=500000,180,IF(B10=750000,365,1095)))</x:f>
        <x:v>90</x:v>
      </x:c>
      <x:c r="Q10" s="20" t="n">
        <x:f>D10</x:f>
        <x:v>0.16999999999999998</x:v>
      </x:c>
      <x:c r="R10" s="30" t="n">
        <x:f>B10+C10+E10+F10+L10</x:f>
        <x:v>279398.6301369863</x:v>
      </x:c>
      <x:c r="S10" s="30" t="n">
        <x:f>(B10+E10)*J10</x:f>
        <x:v>173.65296803652967</x:v>
      </x:c>
      <x:c r="T10" s="30" t="n">
        <x:f>C10+E10+F10+L10</x:f>
        <x:v>29398.630136986303</x:v>
      </x:c>
      <x:c r="U10" s="30" t="n">
        <x:f>E10</x:f>
        <x:v>10479.45205479452</x:v>
      </x:c>
      <x:c r="V10" s="30" t="n">
        <x:f>C10</x:f>
        <x:v>1000</x:v>
      </x:c>
      <x:c r="W10" s="30" t="n">
        <x:f>F10</x:f>
        <x:v>7500</x:v>
      </x:c>
      <x:c r="X10" s="30" t="n">
        <x:f>L10</x:f>
        <x:v>10419.178082191782</x:v>
      </x:c>
      <x:c r="Y10" s="30" t="n">
        <x:f>SUM(U10:X10)</x:f>
        <x:v>29398.630136986303</x:v>
      </x:c>
    </x:row>
    <x:row r="11">
      <x:c r="A11" t="str">
        <x:v>Purchase Order Funding</x:v>
      </x:c>
      <x:c r="B11" s="30" t="n">
        <x:v>250000</x:v>
      </x:c>
      <x:c r="C11" s="30" t="n">
        <x:f>Inputs!$G$5</x:f>
        <x:v>1000</x:v>
      </x:c>
      <x:c r="D11" s="20" t="n">
        <x:f>Inputs!$G$4+VLOOKUP(M11,Inputs!$A$4:$B$7,2,FALSE)</x:f>
        <x:v>0.16999999999999998</x:v>
      </x:c>
      <x:c r="E11" s="30" t="n">
        <x:f>B11*D11*N11/Inputs!$G$8</x:f>
        <x:v>10479.45205479452</x:v>
      </x:c>
      <x:c r="F11" s="30" t="n">
        <x:f>B11*Inputs!$G$6</x:f>
        <x:v>7500</x:v>
      </x:c>
      <x:c r="G11" t="str">
        <x:v>90 Days</x:v>
      </x:c>
      <x:c r="H11" s="28" t="n">
        <x:v>90</x:v>
      </x:c>
      <x:c r="I11" s="52" t="n">
        <x:f>Inputs!$G$7</x:f>
        <x:v>0.02</x:v>
      </x:c>
      <x:c r="J11" s="52" t="n">
        <x:f>I11/30</x:f>
        <x:v>0.0006666666666666666</x:v>
      </x:c>
      <x:c r="K11" s="52" t="n">
        <x:f>J11*H11</x:f>
        <x:v>0.06</x:v>
      </x:c>
      <x:c r="L11" s="30" t="n">
        <x:f>(B11+E11)*K11</x:f>
        <x:v>15628.767123287671</x:v>
      </x:c>
      <x:c r="M11" s="30" t="n">
        <x:f>E11</x:f>
        <x:v>10479.45205479452</x:v>
      </x:c>
      <x:c r="N11" s="30">
        <x:f>R11-C11-F11</x:f>
      </x:c>
      <x:c r="O11" s="20" t="str">
        <x:f>IF(ABS(D11-(Inputs!$G$4+Inputs!$B$4))&lt;0.000001,"Low Risk",IF(ABS(D11-(Inputs!$G$4+Inputs!$B$5))&lt;0.000001,"Moderate Risk",IF(ABS(D11-(Inputs!$G$4+Inputs!$B$6))&lt;0.000001,"High Risk","Worst Scenario")))</x:f>
        <x:v>Moderate Risk</x:v>
      </x:c>
      <x:c r="P11" s="28" t="n">
        <x:f>IF(A11="Purchase Order Funding",Inputs!$G$13,IF(B11=500000,180,IF(B11=750000,365,1095)))</x:f>
        <x:v>90</x:v>
      </x:c>
      <x:c r="Q11" s="20" t="n">
        <x:f>D11</x:f>
        <x:v>0.16999999999999998</x:v>
      </x:c>
      <x:c r="R11" s="30" t="n">
        <x:f>B11+C11+E11+F11+L11</x:f>
        <x:v>284608.2191780822</x:v>
      </x:c>
      <x:c r="S11" s="30" t="n">
        <x:f>(B11+E11)*J11</x:f>
        <x:v>173.65296803652967</x:v>
      </x:c>
      <x:c r="T11" s="30" t="n">
        <x:f>C11+E11+F11+L11</x:f>
        <x:v>34608.21917808219</x:v>
      </x:c>
      <x:c r="U11" s="30" t="n">
        <x:f>E11</x:f>
        <x:v>10479.45205479452</x:v>
      </x:c>
      <x:c r="V11" s="30" t="n">
        <x:f>C11</x:f>
        <x:v>1000</x:v>
      </x:c>
      <x:c r="W11" s="30" t="n">
        <x:f>F11</x:f>
        <x:v>7500</x:v>
      </x:c>
      <x:c r="X11" s="30" t="n">
        <x:f>L11</x:f>
        <x:v>15628.767123287671</x:v>
      </x:c>
      <x:c r="Y11" s="30" t="n">
        <x:f>SUM(U11:X11)</x:f>
        <x:v>34608.21917808219</x:v>
      </x:c>
    </x:row>
    <x:row r="12">
      <x:c r="A12" t="str">
        <x:v>Purchase Order Funding</x:v>
      </x:c>
      <x:c r="B12" s="30" t="n">
        <x:v>250000</x:v>
      </x:c>
      <x:c r="C12" s="30" t="n">
        <x:f>Inputs!$G$5</x:f>
        <x:v>1000</x:v>
      </x:c>
      <x:c r="D12" s="20" t="n">
        <x:f>Inputs!$G$4+VLOOKUP(M12,Inputs!$A$4:$B$7,2,FALSE)</x:f>
        <x:v>0.16999999999999998</x:v>
      </x:c>
      <x:c r="E12" s="30" t="n">
        <x:f>B12*D12*N12/Inputs!$G$8</x:f>
        <x:v>10479.45205479452</x:v>
      </x:c>
      <x:c r="F12" s="30" t="n">
        <x:f>B12*Inputs!$G$6</x:f>
        <x:v>7500</x:v>
      </x:c>
      <x:c r="G12" t="str">
        <x:v>120 Days</x:v>
      </x:c>
      <x:c r="H12" s="28" t="n">
        <x:v>120</x:v>
      </x:c>
      <x:c r="I12" s="52" t="n">
        <x:f>Inputs!$G$7</x:f>
        <x:v>0.02</x:v>
      </x:c>
      <x:c r="J12" s="52" t="n">
        <x:f>I12/30</x:f>
        <x:v>0.0006666666666666666</x:v>
      </x:c>
      <x:c r="K12" s="52" t="n">
        <x:f>J12*H12</x:f>
        <x:v>0.08</x:v>
      </x:c>
      <x:c r="L12" s="30" t="n">
        <x:f>(B12+E12)*K12</x:f>
        <x:v>20838.356164383564</x:v>
      </x:c>
      <x:c r="M12" s="30" t="n">
        <x:f>E12</x:f>
        <x:v>10479.45205479452</x:v>
      </x:c>
      <x:c r="N12" s="30">
        <x:f>R12-C12-F12</x:f>
      </x:c>
      <x:c r="O12" s="20" t="str">
        <x:f>IF(ABS(D12-(Inputs!$G$4+Inputs!$B$4))&lt;0.000001,"Low Risk",IF(ABS(D12-(Inputs!$G$4+Inputs!$B$5))&lt;0.000001,"Moderate Risk",IF(ABS(D12-(Inputs!$G$4+Inputs!$B$6))&lt;0.000001,"High Risk","Worst Scenario")))</x:f>
        <x:v>Moderate Risk</x:v>
      </x:c>
      <x:c r="P12" s="28" t="n">
        <x:f>IF(A12="Purchase Order Funding",Inputs!$G$13,IF(B12=500000,180,IF(B12=750000,365,1095)))</x:f>
        <x:v>90</x:v>
      </x:c>
      <x:c r="Q12" s="20" t="n">
        <x:f>D12</x:f>
        <x:v>0.16999999999999998</x:v>
      </x:c>
      <x:c r="R12" s="30" t="n">
        <x:f>B12+C12+E12+F12+L12</x:f>
        <x:v>289817.8082191781</x:v>
      </x:c>
      <x:c r="S12" s="30" t="n">
        <x:f>(B12+E12)*J12</x:f>
        <x:v>173.65296803652967</x:v>
      </x:c>
      <x:c r="T12" s="30" t="n">
        <x:f>C12+E12+F12+L12</x:f>
        <x:v>39817.808219178085</x:v>
      </x:c>
      <x:c r="U12" s="30" t="n">
        <x:f>E12</x:f>
        <x:v>10479.45205479452</x:v>
      </x:c>
      <x:c r="V12" s="30" t="n">
        <x:f>C12</x:f>
        <x:v>1000</x:v>
      </x:c>
      <x:c r="W12" s="30" t="n">
        <x:f>F12</x:f>
        <x:v>7500</x:v>
      </x:c>
      <x:c r="X12" s="30" t="n">
        <x:f>L12</x:f>
        <x:v>20838.356164383564</x:v>
      </x:c>
      <x:c r="Y12" s="30" t="n">
        <x:f>SUM(U12:X12)</x:f>
        <x:v>39817.808219178085</x:v>
      </x:c>
    </x:row>
    <x:row r="13">
      <x:c r="A13" t="str">
        <x:v>Purchase Order Funding</x:v>
      </x:c>
      <x:c r="B13" s="30" t="n">
        <x:v>250000</x:v>
      </x:c>
      <x:c r="C13" s="30" t="n">
        <x:f>Inputs!$G$5</x:f>
        <x:v>1000</x:v>
      </x:c>
      <x:c r="D13" s="20" t="n">
        <x:f>Inputs!$G$4+VLOOKUP(M13,Inputs!$A$4:$B$7,2,FALSE)</x:f>
        <x:v>0.19</x:v>
      </x:c>
      <x:c r="E13" s="30" t="n">
        <x:f>B13*D13*N13/Inputs!$G$8</x:f>
        <x:v>11712.328767123288</x:v>
      </x:c>
      <x:c r="F13" s="30" t="n">
        <x:f>B13*Inputs!$G$6</x:f>
        <x:v>7500</x:v>
      </x:c>
      <x:c r="G13" t="str">
        <x:v>30 Days</x:v>
      </x:c>
      <x:c r="H13" s="28" t="n">
        <x:v>30</x:v>
      </x:c>
      <x:c r="I13" s="52" t="n">
        <x:f>Inputs!$G$7</x:f>
        <x:v>0.02</x:v>
      </x:c>
      <x:c r="J13" s="52" t="n">
        <x:f>I13/30</x:f>
        <x:v>0.0006666666666666666</x:v>
      </x:c>
      <x:c r="K13" s="52" t="n">
        <x:f>J13*H13</x:f>
        <x:v>0.02</x:v>
      </x:c>
      <x:c r="L13" s="30" t="n">
        <x:f>(B13+E13)*K13</x:f>
        <x:v>5234.246575342466</x:v>
      </x:c>
      <x:c r="M13" s="30" t="n">
        <x:f>E13</x:f>
        <x:v>11712.328767123288</x:v>
      </x:c>
      <x:c r="N13" s="30">
        <x:f>R13-C13-F13</x:f>
      </x:c>
      <x:c r="O13" s="20" t="str">
        <x:f>IF(ABS(D13-(Inputs!$G$4+Inputs!$B$4))&lt;0.000001,"Low Risk",IF(ABS(D13-(Inputs!$G$4+Inputs!$B$5))&lt;0.000001,"Moderate Risk",IF(ABS(D13-(Inputs!$G$4+Inputs!$B$6))&lt;0.000001,"High Risk","Worst Scenario")))</x:f>
        <x:v>High Risk</x:v>
      </x:c>
      <x:c r="P13" s="28" t="n">
        <x:f>IF(A13="Purchase Order Funding",Inputs!$G$13,IF(B13=500000,180,IF(B13=750000,365,1095)))</x:f>
        <x:v>90</x:v>
      </x:c>
      <x:c r="Q13" s="20" t="n">
        <x:f>D13</x:f>
        <x:v>0.19</x:v>
      </x:c>
      <x:c r="R13" s="30" t="n">
        <x:f>B13+C13+E13+F13+L13</x:f>
        <x:v>275446.5753424658</x:v>
      </x:c>
      <x:c r="S13" s="30" t="n">
        <x:f>(B13+E13)*J13</x:f>
        <x:v>174.47488584474885</x:v>
      </x:c>
      <x:c r="T13" s="30" t="n">
        <x:f>C13+E13+F13+L13</x:f>
        <x:v>25446.575342465756</x:v>
      </x:c>
      <x:c r="U13" s="30" t="n">
        <x:f>E13</x:f>
        <x:v>11712.328767123288</x:v>
      </x:c>
      <x:c r="V13" s="30" t="n">
        <x:f>C13</x:f>
        <x:v>1000</x:v>
      </x:c>
      <x:c r="W13" s="30" t="n">
        <x:f>F13</x:f>
        <x:v>7500</x:v>
      </x:c>
      <x:c r="X13" s="30" t="n">
        <x:f>L13</x:f>
        <x:v>5234.246575342466</x:v>
      </x:c>
      <x:c r="Y13" s="30" t="n">
        <x:f>SUM(U13:X13)</x:f>
        <x:v>25446.575342465756</x:v>
      </x:c>
    </x:row>
    <x:row r="14">
      <x:c r="A14" t="str">
        <x:v>Purchase Order Funding</x:v>
      </x:c>
      <x:c r="B14" s="30" t="n">
        <x:v>250000</x:v>
      </x:c>
      <x:c r="C14" s="30" t="n">
        <x:f>Inputs!$G$5</x:f>
        <x:v>1000</x:v>
      </x:c>
      <x:c r="D14" s="20" t="n">
        <x:f>Inputs!$G$4+VLOOKUP(M14,Inputs!$A$4:$B$7,2,FALSE)</x:f>
        <x:v>0.19</x:v>
      </x:c>
      <x:c r="E14" s="30" t="n">
        <x:f>B14*D14*N14/Inputs!$G$8</x:f>
        <x:v>11712.328767123288</x:v>
      </x:c>
      <x:c r="F14" s="30" t="n">
        <x:f>B14*Inputs!$G$6</x:f>
        <x:v>7500</x:v>
      </x:c>
      <x:c r="G14" t="str">
        <x:v>60 Days</x:v>
      </x:c>
      <x:c r="H14" s="28" t="n">
        <x:v>60</x:v>
      </x:c>
      <x:c r="I14" s="52" t="n">
        <x:f>Inputs!$G$7</x:f>
        <x:v>0.02</x:v>
      </x:c>
      <x:c r="J14" s="52" t="n">
        <x:f>I14/30</x:f>
        <x:v>0.0006666666666666666</x:v>
      </x:c>
      <x:c r="K14" s="52" t="n">
        <x:f>J14*H14</x:f>
        <x:v>0.04</x:v>
      </x:c>
      <x:c r="L14" s="30" t="n">
        <x:f>(B14+E14)*K14</x:f>
        <x:v>10468.493150684932</x:v>
      </x:c>
      <x:c r="M14" s="30" t="n">
        <x:f>E14</x:f>
        <x:v>11712.328767123288</x:v>
      </x:c>
      <x:c r="N14" s="30">
        <x:f>R14-C14-F14</x:f>
      </x:c>
      <x:c r="O14" s="20" t="str">
        <x:f>IF(ABS(D14-(Inputs!$G$4+Inputs!$B$4))&lt;0.000001,"Low Risk",IF(ABS(D14-(Inputs!$G$4+Inputs!$B$5))&lt;0.000001,"Moderate Risk",IF(ABS(D14-(Inputs!$G$4+Inputs!$B$6))&lt;0.000001,"High Risk","Worst Scenario")))</x:f>
        <x:v>High Risk</x:v>
      </x:c>
      <x:c r="P14" s="28" t="n">
        <x:f>IF(A14="Purchase Order Funding",Inputs!$G$13,IF(B14=500000,180,IF(B14=750000,365,1095)))</x:f>
        <x:v>90</x:v>
      </x:c>
      <x:c r="Q14" s="20" t="n">
        <x:f>D14</x:f>
        <x:v>0.19</x:v>
      </x:c>
      <x:c r="R14" s="30" t="n">
        <x:f>B14+C14+E14+F14+L14</x:f>
        <x:v>280680.8219178082</x:v>
      </x:c>
      <x:c r="S14" s="30" t="n">
        <x:f>(B14+E14)*J14</x:f>
        <x:v>174.47488584474885</x:v>
      </x:c>
      <x:c r="T14" s="30" t="n">
        <x:f>C14+E14+F14+L14</x:f>
        <x:v>30680.82191780822</x:v>
      </x:c>
      <x:c r="U14" s="30" t="n">
        <x:f>E14</x:f>
        <x:v>11712.328767123288</x:v>
      </x:c>
      <x:c r="V14" s="30" t="n">
        <x:f>C14</x:f>
        <x:v>1000</x:v>
      </x:c>
      <x:c r="W14" s="30" t="n">
        <x:f>F14</x:f>
        <x:v>7500</x:v>
      </x:c>
      <x:c r="X14" s="30" t="n">
        <x:f>L14</x:f>
        <x:v>10468.493150684932</x:v>
      </x:c>
      <x:c r="Y14" s="30" t="n">
        <x:f>SUM(U14:X14)</x:f>
        <x:v>30680.82191780822</x:v>
      </x:c>
    </x:row>
    <x:row r="15">
      <x:c r="A15" t="str">
        <x:v>Purchase Order Funding</x:v>
      </x:c>
      <x:c r="B15" s="30" t="n">
        <x:v>250000</x:v>
      </x:c>
      <x:c r="C15" s="30" t="n">
        <x:f>Inputs!$G$5</x:f>
        <x:v>1000</x:v>
      </x:c>
      <x:c r="D15" s="20" t="n">
        <x:f>Inputs!$G$4+VLOOKUP(M15,Inputs!$A$4:$B$7,2,FALSE)</x:f>
        <x:v>0.19</x:v>
      </x:c>
      <x:c r="E15" s="30" t="n">
        <x:f>B15*D15*N15/Inputs!$G$8</x:f>
        <x:v>11712.328767123288</x:v>
      </x:c>
      <x:c r="F15" s="30" t="n">
        <x:f>B15*Inputs!$G$6</x:f>
        <x:v>7500</x:v>
      </x:c>
      <x:c r="G15" t="str">
        <x:v>90 Days</x:v>
      </x:c>
      <x:c r="H15" s="28" t="n">
        <x:v>90</x:v>
      </x:c>
      <x:c r="I15" s="52" t="n">
        <x:f>Inputs!$G$7</x:f>
        <x:v>0.02</x:v>
      </x:c>
      <x:c r="J15" s="52" t="n">
        <x:f>I15/30</x:f>
        <x:v>0.0006666666666666666</x:v>
      </x:c>
      <x:c r="K15" s="52" t="n">
        <x:f>J15*H15</x:f>
        <x:v>0.06</x:v>
      </x:c>
      <x:c r="L15" s="30" t="n">
        <x:f>(B15+E15)*K15</x:f>
        <x:v>15702.739726027396</x:v>
      </x:c>
      <x:c r="M15" s="30" t="n">
        <x:f>E15</x:f>
        <x:v>11712.328767123288</x:v>
      </x:c>
      <x:c r="N15" s="30">
        <x:f>R15-C15-F15</x:f>
      </x:c>
      <x:c r="O15" s="20" t="str">
        <x:f>IF(ABS(D15-(Inputs!$G$4+Inputs!$B$4))&lt;0.000001,"Low Risk",IF(ABS(D15-(Inputs!$G$4+Inputs!$B$5))&lt;0.000001,"Moderate Risk",IF(ABS(D15-(Inputs!$G$4+Inputs!$B$6))&lt;0.000001,"High Risk","Worst Scenario")))</x:f>
        <x:v>High Risk</x:v>
      </x:c>
      <x:c r="P15" s="28" t="n">
        <x:f>IF(A15="Purchase Order Funding",Inputs!$G$13,IF(B15=500000,180,IF(B15=750000,365,1095)))</x:f>
        <x:v>90</x:v>
      </x:c>
      <x:c r="Q15" s="20" t="n">
        <x:f>D15</x:f>
        <x:v>0.19</x:v>
      </x:c>
      <x:c r="R15" s="30" t="n">
        <x:f>B15+C15+E15+F15+L15</x:f>
        <x:v>285915.0684931507</x:v>
      </x:c>
      <x:c r="S15" s="30" t="n">
        <x:f>(B15+E15)*J15</x:f>
        <x:v>174.47488584474885</x:v>
      </x:c>
      <x:c r="T15" s="30" t="n">
        <x:f>C15+E15+F15+L15</x:f>
        <x:v>35915.068493150684</x:v>
      </x:c>
      <x:c r="U15" s="30" t="n">
        <x:f>E15</x:f>
        <x:v>11712.328767123288</x:v>
      </x:c>
      <x:c r="V15" s="30" t="n">
        <x:f>C15</x:f>
        <x:v>1000</x:v>
      </x:c>
      <x:c r="W15" s="30" t="n">
        <x:f>F15</x:f>
        <x:v>7500</x:v>
      </x:c>
      <x:c r="X15" s="30" t="n">
        <x:f>L15</x:f>
        <x:v>15702.739726027396</x:v>
      </x:c>
      <x:c r="Y15" s="30" t="n">
        <x:f>SUM(U15:X15)</x:f>
        <x:v>35915.068493150684</x:v>
      </x:c>
    </x:row>
    <x:row r="16">
      <x:c r="A16" t="str">
        <x:v>Purchase Order Funding</x:v>
      </x:c>
      <x:c r="B16" s="30" t="n">
        <x:v>250000</x:v>
      </x:c>
      <x:c r="C16" s="30" t="n">
        <x:f>Inputs!$G$5</x:f>
        <x:v>1000</x:v>
      </x:c>
      <x:c r="D16" s="20" t="n">
        <x:f>Inputs!$G$4+VLOOKUP(M16,Inputs!$A$4:$B$7,2,FALSE)</x:f>
        <x:v>0.19</x:v>
      </x:c>
      <x:c r="E16" s="30" t="n">
        <x:f>B16*D16*N16/Inputs!$G$8</x:f>
        <x:v>11712.328767123288</x:v>
      </x:c>
      <x:c r="F16" s="30" t="n">
        <x:f>B16*Inputs!$G$6</x:f>
        <x:v>7500</x:v>
      </x:c>
      <x:c r="G16" t="str">
        <x:v>120 Days</x:v>
      </x:c>
      <x:c r="H16" s="28" t="n">
        <x:v>120</x:v>
      </x:c>
      <x:c r="I16" s="52" t="n">
        <x:f>Inputs!$G$7</x:f>
        <x:v>0.02</x:v>
      </x:c>
      <x:c r="J16" s="52" t="n">
        <x:f>I16/30</x:f>
        <x:v>0.0006666666666666666</x:v>
      </x:c>
      <x:c r="K16" s="52" t="n">
        <x:f>J16*H16</x:f>
        <x:v>0.08</x:v>
      </x:c>
      <x:c r="L16" s="30" t="n">
        <x:f>(B16+E16)*K16</x:f>
        <x:v>20936.986301369863</x:v>
      </x:c>
      <x:c r="M16" s="30" t="n">
        <x:f>E16</x:f>
        <x:v>11712.328767123288</x:v>
      </x:c>
      <x:c r="N16" s="30">
        <x:f>R16-C16-F16</x:f>
      </x:c>
      <x:c r="O16" s="20" t="str">
        <x:f>IF(ABS(D16-(Inputs!$G$4+Inputs!$B$4))&lt;0.000001,"Low Risk",IF(ABS(D16-(Inputs!$G$4+Inputs!$B$5))&lt;0.000001,"Moderate Risk",IF(ABS(D16-(Inputs!$G$4+Inputs!$B$6))&lt;0.000001,"High Risk","Worst Scenario")))</x:f>
        <x:v>High Risk</x:v>
      </x:c>
      <x:c r="P16" s="28" t="n">
        <x:f>IF(A16="Purchase Order Funding",Inputs!$G$13,IF(B16=500000,180,IF(B16=750000,365,1095)))</x:f>
        <x:v>90</x:v>
      </x:c>
      <x:c r="Q16" s="20" t="n">
        <x:f>D16</x:f>
        <x:v>0.19</x:v>
      </x:c>
      <x:c r="R16" s="30" t="n">
        <x:f>B16+C16+E16+F16+L16</x:f>
        <x:v>291149.31506849313</x:v>
      </x:c>
      <x:c r="S16" s="30" t="n">
        <x:f>(B16+E16)*J16</x:f>
        <x:v>174.47488584474885</x:v>
      </x:c>
      <x:c r="T16" s="30" t="n">
        <x:f>C16+E16+F16+L16</x:f>
        <x:v>41149.31506849315</x:v>
      </x:c>
      <x:c r="U16" s="30" t="n">
        <x:f>E16</x:f>
        <x:v>11712.328767123288</x:v>
      </x:c>
      <x:c r="V16" s="30" t="n">
        <x:f>C16</x:f>
        <x:v>1000</x:v>
      </x:c>
      <x:c r="W16" s="30" t="n">
        <x:f>F16</x:f>
        <x:v>7500</x:v>
      </x:c>
      <x:c r="X16" s="30" t="n">
        <x:f>L16</x:f>
        <x:v>20936.986301369863</x:v>
      </x:c>
      <x:c r="Y16" s="30" t="n">
        <x:f>SUM(U16:X16)</x:f>
        <x:v>41149.31506849315</x:v>
      </x:c>
    </x:row>
    <x:row r="17">
      <x:c r="A17" t="str">
        <x:v>Purchase Order Funding</x:v>
      </x:c>
      <x:c r="B17" s="30" t="n">
        <x:v>250000</x:v>
      </x:c>
      <x:c r="C17" s="30" t="n">
        <x:f>Inputs!$G$5</x:f>
        <x:v>1000</x:v>
      </x:c>
      <x:c r="D17" s="20" t="n">
        <x:f>Inputs!$G$4+VLOOKUP(M17,Inputs!$A$4:$B$7,2,FALSE)</x:f>
        <x:v>0.21</x:v>
      </x:c>
      <x:c r="E17" s="30" t="n">
        <x:f>B17*D17*N17/Inputs!$G$8</x:f>
        <x:v>12945.205479452055</x:v>
      </x:c>
      <x:c r="F17" s="30" t="n">
        <x:f>B17*Inputs!$G$6</x:f>
        <x:v>7500</x:v>
      </x:c>
      <x:c r="G17" t="str">
        <x:v>30 Days</x:v>
      </x:c>
      <x:c r="H17" s="28" t="n">
        <x:v>30</x:v>
      </x:c>
      <x:c r="I17" s="52" t="n">
        <x:f>Inputs!$G$7</x:f>
        <x:v>0.02</x:v>
      </x:c>
      <x:c r="J17" s="52" t="n">
        <x:f>I17/30</x:f>
        <x:v>0.0006666666666666666</x:v>
      </x:c>
      <x:c r="K17" s="52" t="n">
        <x:f>J17*H17</x:f>
        <x:v>0.02</x:v>
      </x:c>
      <x:c r="L17" s="30" t="n">
        <x:f>(B17+E17)*K17</x:f>
        <x:v>5258.904109589041</x:v>
      </x:c>
      <x:c r="M17" s="30" t="n">
        <x:f>E17</x:f>
        <x:v>12945.205479452055</x:v>
      </x:c>
      <x:c r="N17" s="30">
        <x:f>R17-C17-F17</x:f>
      </x:c>
      <x:c r="O17" s="20" t="str">
        <x:f>IF(ABS(D17-(Inputs!$G$4+Inputs!$B$4))&lt;0.000001,"Low Risk",IF(ABS(D17-(Inputs!$G$4+Inputs!$B$5))&lt;0.000001,"Moderate Risk",IF(ABS(D17-(Inputs!$G$4+Inputs!$B$6))&lt;0.000001,"High Risk","Worst Scenario")))</x:f>
        <x:v>Worst Scenario</x:v>
      </x:c>
      <x:c r="P17" s="28" t="n">
        <x:f>IF(A17="Purchase Order Funding",Inputs!$G$13,IF(B17=500000,180,IF(B17=750000,365,1095)))</x:f>
        <x:v>90</x:v>
      </x:c>
      <x:c r="Q17" s="20" t="n">
        <x:f>D17</x:f>
        <x:v>0.21</x:v>
      </x:c>
      <x:c r="R17" s="30" t="n">
        <x:f>B17+C17+E17+F17+L17</x:f>
        <x:v>276704.1095890411</x:v>
      </x:c>
      <x:c r="S17" s="30" t="n">
        <x:f>(B17+E17)*J17</x:f>
        <x:v>175.296803652968</x:v>
      </x:c>
      <x:c r="T17" s="30" t="n">
        <x:f>C17+E17+F17+L17</x:f>
        <x:v>26704.109589041094</x:v>
      </x:c>
      <x:c r="U17" s="30" t="n">
        <x:f>E17</x:f>
        <x:v>12945.205479452055</x:v>
      </x:c>
      <x:c r="V17" s="30" t="n">
        <x:f>C17</x:f>
        <x:v>1000</x:v>
      </x:c>
      <x:c r="W17" s="30" t="n">
        <x:f>F17</x:f>
        <x:v>7500</x:v>
      </x:c>
      <x:c r="X17" s="30" t="n">
        <x:f>L17</x:f>
        <x:v>5258.904109589041</x:v>
      </x:c>
      <x:c r="Y17" s="30" t="n">
        <x:f>SUM(U17:X17)</x:f>
        <x:v>26704.109589041094</x:v>
      </x:c>
    </x:row>
    <x:row r="18">
      <x:c r="A18" t="str">
        <x:v>Purchase Order Funding</x:v>
      </x:c>
      <x:c r="B18" s="30" t="n">
        <x:v>250000</x:v>
      </x:c>
      <x:c r="C18" s="30" t="n">
        <x:f>Inputs!$G$5</x:f>
        <x:v>1000</x:v>
      </x:c>
      <x:c r="D18" s="20" t="n">
        <x:f>Inputs!$G$4+VLOOKUP(M18,Inputs!$A$4:$B$7,2,FALSE)</x:f>
        <x:v>0.21</x:v>
      </x:c>
      <x:c r="E18" s="30" t="n">
        <x:f>B18*D18*N18/Inputs!$G$8</x:f>
        <x:v>12945.205479452055</x:v>
      </x:c>
      <x:c r="F18" s="30" t="n">
        <x:f>B18*Inputs!$G$6</x:f>
        <x:v>7500</x:v>
      </x:c>
      <x:c r="G18" t="str">
        <x:v>60 Days</x:v>
      </x:c>
      <x:c r="H18" s="28" t="n">
        <x:v>60</x:v>
      </x:c>
      <x:c r="I18" s="52" t="n">
        <x:f>Inputs!$G$7</x:f>
        <x:v>0.02</x:v>
      </x:c>
      <x:c r="J18" s="52" t="n">
        <x:f>I18/30</x:f>
        <x:v>0.0006666666666666666</x:v>
      </x:c>
      <x:c r="K18" s="52" t="n">
        <x:f>J18*H18</x:f>
        <x:v>0.04</x:v>
      </x:c>
      <x:c r="L18" s="30" t="n">
        <x:f>(B18+E18)*K18</x:f>
        <x:v>10517.808219178081</x:v>
      </x:c>
      <x:c r="M18" s="30" t="n">
        <x:f>E18</x:f>
        <x:v>12945.205479452055</x:v>
      </x:c>
      <x:c r="N18" s="30">
        <x:f>R18-C18-F18</x:f>
      </x:c>
      <x:c r="O18" s="20" t="str">
        <x:f>IF(ABS(D18-(Inputs!$G$4+Inputs!$B$4))&lt;0.000001,"Low Risk",IF(ABS(D18-(Inputs!$G$4+Inputs!$B$5))&lt;0.000001,"Moderate Risk",IF(ABS(D18-(Inputs!$G$4+Inputs!$B$6))&lt;0.000001,"High Risk","Worst Scenario")))</x:f>
        <x:v>Worst Scenario</x:v>
      </x:c>
      <x:c r="P18" s="28" t="n">
        <x:f>IF(A18="Purchase Order Funding",Inputs!$G$13,IF(B18=500000,180,IF(B18=750000,365,1095)))</x:f>
        <x:v>90</x:v>
      </x:c>
      <x:c r="Q18" s="20" t="n">
        <x:f>D18</x:f>
        <x:v>0.21</x:v>
      </x:c>
      <x:c r="R18" s="30" t="n">
        <x:f>B18+C18+E18+F18+L18</x:f>
        <x:v>281963.0136986301</x:v>
      </x:c>
      <x:c r="S18" s="30" t="n">
        <x:f>(B18+E18)*J18</x:f>
        <x:v>175.296803652968</x:v>
      </x:c>
      <x:c r="T18" s="30" t="n">
        <x:f>C18+E18+F18+L18</x:f>
        <x:v>31963.013698630137</x:v>
      </x:c>
      <x:c r="U18" s="30" t="n">
        <x:f>E18</x:f>
        <x:v>12945.205479452055</x:v>
      </x:c>
      <x:c r="V18" s="30" t="n">
        <x:f>C18</x:f>
        <x:v>1000</x:v>
      </x:c>
      <x:c r="W18" s="30" t="n">
        <x:f>F18</x:f>
        <x:v>7500</x:v>
      </x:c>
      <x:c r="X18" s="30" t="n">
        <x:f>L18</x:f>
        <x:v>10517.808219178081</x:v>
      </x:c>
      <x:c r="Y18" s="30" t="n">
        <x:f>SUM(U18:X18)</x:f>
        <x:v>31963.013698630137</x:v>
      </x:c>
    </x:row>
    <x:row r="19">
      <x:c r="A19" t="str">
        <x:v>Purchase Order Funding</x:v>
      </x:c>
      <x:c r="B19" s="30" t="n">
        <x:v>250000</x:v>
      </x:c>
      <x:c r="C19" s="30" t="n">
        <x:f>Inputs!$G$5</x:f>
        <x:v>1000</x:v>
      </x:c>
      <x:c r="D19" s="20" t="n">
        <x:f>Inputs!$G$4+VLOOKUP(M19,Inputs!$A$4:$B$7,2,FALSE)</x:f>
        <x:v>0.21</x:v>
      </x:c>
      <x:c r="E19" s="30" t="n">
        <x:f>B19*D19*N19/Inputs!$G$8</x:f>
        <x:v>12945.205479452055</x:v>
      </x:c>
      <x:c r="F19" s="30" t="n">
        <x:f>B19*Inputs!$G$6</x:f>
        <x:v>7500</x:v>
      </x:c>
      <x:c r="G19" t="str">
        <x:v>90 Days</x:v>
      </x:c>
      <x:c r="H19" s="28" t="n">
        <x:v>90</x:v>
      </x:c>
      <x:c r="I19" s="52" t="n">
        <x:f>Inputs!$G$7</x:f>
        <x:v>0.02</x:v>
      </x:c>
      <x:c r="J19" s="52" t="n">
        <x:f>I19/30</x:f>
        <x:v>0.0006666666666666666</x:v>
      </x:c>
      <x:c r="K19" s="52" t="n">
        <x:f>J19*H19</x:f>
        <x:v>0.06</x:v>
      </x:c>
      <x:c r="L19" s="30" t="n">
        <x:f>(B19+E19)*K19</x:f>
        <x:v>15776.712328767122</x:v>
      </x:c>
      <x:c r="M19" s="30" t="n">
        <x:f>E19</x:f>
        <x:v>12945.205479452055</x:v>
      </x:c>
      <x:c r="N19" s="30">
        <x:f>R19-C19-F19</x:f>
      </x:c>
      <x:c r="O19" s="20" t="str">
        <x:f>IF(ABS(D19-(Inputs!$G$4+Inputs!$B$4))&lt;0.000001,"Low Risk",IF(ABS(D19-(Inputs!$G$4+Inputs!$B$5))&lt;0.000001,"Moderate Risk",IF(ABS(D19-(Inputs!$G$4+Inputs!$B$6))&lt;0.000001,"High Risk","Worst Scenario")))</x:f>
        <x:v>Worst Scenario</x:v>
      </x:c>
      <x:c r="P19" s="28" t="n">
        <x:f>IF(A19="Purchase Order Funding",Inputs!$G$13,IF(B19=500000,180,IF(B19=750000,365,1095)))</x:f>
        <x:v>90</x:v>
      </x:c>
      <x:c r="Q19" s="20" t="n">
        <x:f>D19</x:f>
        <x:v>0.21</x:v>
      </x:c>
      <x:c r="R19" s="30" t="n">
        <x:f>B19+C19+E19+F19+L19</x:f>
        <x:v>287221.91780821915</x:v>
      </x:c>
      <x:c r="S19" s="30" t="n">
        <x:f>(B19+E19)*J19</x:f>
        <x:v>175.296803652968</x:v>
      </x:c>
      <x:c r="T19" s="30" t="n">
        <x:f>C19+E19+F19+L19</x:f>
        <x:v>37221.91780821918</x:v>
      </x:c>
      <x:c r="U19" s="30" t="n">
        <x:f>E19</x:f>
        <x:v>12945.205479452055</x:v>
      </x:c>
      <x:c r="V19" s="30" t="n">
        <x:f>C19</x:f>
        <x:v>1000</x:v>
      </x:c>
      <x:c r="W19" s="30" t="n">
        <x:f>F19</x:f>
        <x:v>7500</x:v>
      </x:c>
      <x:c r="X19" s="30" t="n">
        <x:f>L19</x:f>
        <x:v>15776.712328767122</x:v>
      </x:c>
      <x:c r="Y19" s="30" t="n">
        <x:f>SUM(U19:X19)</x:f>
        <x:v>37221.91780821918</x:v>
      </x:c>
    </x:row>
    <x:row r="20">
      <x:c r="A20" t="str">
        <x:v>Purchase Order Funding</x:v>
      </x:c>
      <x:c r="B20" s="30" t="n">
        <x:v>250000</x:v>
      </x:c>
      <x:c r="C20" s="30" t="n">
        <x:f>Inputs!$G$5</x:f>
        <x:v>1000</x:v>
      </x:c>
      <x:c r="D20" s="20" t="n">
        <x:f>Inputs!$G$4+VLOOKUP(M20,Inputs!$A$4:$B$7,2,FALSE)</x:f>
        <x:v>0.21</x:v>
      </x:c>
      <x:c r="E20" s="30" t="n">
        <x:f>B20*D20*N20/Inputs!$G$8</x:f>
        <x:v>12945.205479452055</x:v>
      </x:c>
      <x:c r="F20" s="30" t="n">
        <x:f>B20*Inputs!$G$6</x:f>
        <x:v>7500</x:v>
      </x:c>
      <x:c r="G20" t="str">
        <x:v>120 Days</x:v>
      </x:c>
      <x:c r="H20" s="28" t="n">
        <x:v>120</x:v>
      </x:c>
      <x:c r="I20" s="52" t="n">
        <x:f>Inputs!$G$7</x:f>
        <x:v>0.02</x:v>
      </x:c>
      <x:c r="J20" s="52" t="n">
        <x:f>I20/30</x:f>
        <x:v>0.0006666666666666666</x:v>
      </x:c>
      <x:c r="K20" s="52" t="n">
        <x:f>J20*H20</x:f>
        <x:v>0.08</x:v>
      </x:c>
      <x:c r="L20" s="30" t="n">
        <x:f>(B20+E20)*K20</x:f>
        <x:v>21035.616438356163</x:v>
      </x:c>
      <x:c r="M20" s="30" t="n">
        <x:f>E20</x:f>
        <x:v>12945.205479452055</x:v>
      </x:c>
      <x:c r="N20" s="30">
        <x:f>R20-C20-F20</x:f>
      </x:c>
      <x:c r="O20" s="20" t="str">
        <x:f>IF(ABS(D20-(Inputs!$G$4+Inputs!$B$4))&lt;0.000001,"Low Risk",IF(ABS(D20-(Inputs!$G$4+Inputs!$B$5))&lt;0.000001,"Moderate Risk",IF(ABS(D20-(Inputs!$G$4+Inputs!$B$6))&lt;0.000001,"High Risk","Worst Scenario")))</x:f>
        <x:v>Worst Scenario</x:v>
      </x:c>
      <x:c r="P20" s="28" t="n">
        <x:f>IF(A20="Purchase Order Funding",Inputs!$G$13,IF(B20=500000,180,IF(B20=750000,365,1095)))</x:f>
        <x:v>90</x:v>
      </x:c>
      <x:c r="Q20" s="20" t="n">
        <x:f>D20</x:f>
        <x:v>0.21</x:v>
      </x:c>
      <x:c r="R20" s="30" t="n">
        <x:f>B20+C20+E20+F20+L20</x:f>
        <x:v>292480.8219178082</x:v>
      </x:c>
      <x:c r="S20" s="30" t="n">
        <x:f>(B20+E20)*J20</x:f>
        <x:v>175.296803652968</x:v>
      </x:c>
      <x:c r="T20" s="30" t="n">
        <x:f>C20+E20+F20+L20</x:f>
        <x:v>42480.82191780822</x:v>
      </x:c>
      <x:c r="U20" s="30" t="n">
        <x:f>E20</x:f>
        <x:v>12945.205479452055</x:v>
      </x:c>
      <x:c r="V20" s="30" t="n">
        <x:f>C20</x:f>
        <x:v>1000</x:v>
      </x:c>
      <x:c r="W20" s="30" t="n">
        <x:f>F20</x:f>
        <x:v>7500</x:v>
      </x:c>
      <x:c r="X20" s="30" t="n">
        <x:f>L20</x:f>
        <x:v>21035.616438356163</x:v>
      </x:c>
      <x:c r="Y20" s="30" t="n">
        <x:f>SUM(U20:X20)</x:f>
        <x:v>42480.82191780822</x:v>
      </x:c>
    </x:row>
    <x:row r="21">
      <x:c r="A21" t="str">
        <x:v>Purchase Order Funding</x:v>
      </x:c>
      <x:c r="B21" s="30" t="n">
        <x:v>300000</x:v>
      </x:c>
      <x:c r="C21" s="30" t="n">
        <x:f>Inputs!$G$5</x:f>
        <x:v>1000</x:v>
      </x:c>
      <x:c r="D21" s="20" t="n">
        <x:f>Inputs!$G$4+VLOOKUP(M21,Inputs!$A$4:$B$7,2,FALSE)</x:f>
        <x:v>0.155</x:v>
      </x:c>
      <x:c r="E21" s="30" t="n">
        <x:f>B21*D21*N21/Inputs!$G$8</x:f>
        <x:v>11465.753424657534</x:v>
      </x:c>
      <x:c r="F21" s="30" t="n">
        <x:f>B21*Inputs!$G$6</x:f>
        <x:v>9000</x:v>
      </x:c>
      <x:c r="G21" t="str">
        <x:v>30 Days</x:v>
      </x:c>
      <x:c r="H21" s="28" t="n">
        <x:v>30</x:v>
      </x:c>
      <x:c r="I21" s="52" t="n">
        <x:f>Inputs!$G$7</x:f>
        <x:v>0.02</x:v>
      </x:c>
      <x:c r="J21" s="52" t="n">
        <x:f>I21/30</x:f>
        <x:v>0.0006666666666666666</x:v>
      </x:c>
      <x:c r="K21" s="52" t="n">
        <x:f>J21*H21</x:f>
        <x:v>0.02</x:v>
      </x:c>
      <x:c r="L21" s="30" t="n">
        <x:f>(B21+E21)*K21</x:f>
        <x:v>6229.315068493151</x:v>
      </x:c>
      <x:c r="M21" s="30" t="n">
        <x:f>E21</x:f>
        <x:v>11465.753424657534</x:v>
      </x:c>
      <x:c r="N21" s="30">
        <x:f>R21-C21-F21</x:f>
      </x:c>
      <x:c r="O21" s="20" t="str">
        <x:f>IF(ABS(D21-(Inputs!$G$4+Inputs!$B$4))&lt;0.000001,"Low Risk",IF(ABS(D21-(Inputs!$G$4+Inputs!$B$5))&lt;0.000001,"Moderate Risk",IF(ABS(D21-(Inputs!$G$4+Inputs!$B$6))&lt;0.000001,"High Risk","Worst Scenario")))</x:f>
        <x:v>Low Risk</x:v>
      </x:c>
      <x:c r="P21" s="28" t="n">
        <x:f>IF(A21="Purchase Order Funding",Inputs!$G$13,IF(B21=500000,180,IF(B21=750000,365,1095)))</x:f>
        <x:v>90</x:v>
      </x:c>
      <x:c r="Q21" s="20" t="n">
        <x:f>D21</x:f>
        <x:v>0.155</x:v>
      </x:c>
      <x:c r="R21" s="30" t="n">
        <x:f>B21+C21+E21+F21+L21</x:f>
        <x:v>327695.06849315064</x:v>
      </x:c>
      <x:c r="S21" s="30" t="n">
        <x:f>(B21+E21)*J21</x:f>
        <x:v>207.64383561643834</x:v>
      </x:c>
      <x:c r="T21" s="30" t="n">
        <x:f>C21+E21+F21+L21</x:f>
        <x:v>27695.068493150684</x:v>
      </x:c>
      <x:c r="U21" s="30" t="n">
        <x:f>E21</x:f>
        <x:v>11465.753424657534</x:v>
      </x:c>
      <x:c r="V21" s="30" t="n">
        <x:f>C21</x:f>
        <x:v>1000</x:v>
      </x:c>
      <x:c r="W21" s="30" t="n">
        <x:f>F21</x:f>
        <x:v>9000</x:v>
      </x:c>
      <x:c r="X21" s="30" t="n">
        <x:f>L21</x:f>
        <x:v>6229.315068493151</x:v>
      </x:c>
      <x:c r="Y21" s="30" t="n">
        <x:f>SUM(U21:X21)</x:f>
        <x:v>27695.068493150684</x:v>
      </x:c>
    </x:row>
    <x:row r="22">
      <x:c r="A22" t="str">
        <x:v>Purchase Order Funding</x:v>
      </x:c>
      <x:c r="B22" s="30" t="n">
        <x:v>300000</x:v>
      </x:c>
      <x:c r="C22" s="30" t="n">
        <x:f>Inputs!$G$5</x:f>
        <x:v>1000</x:v>
      </x:c>
      <x:c r="D22" s="20" t="n">
        <x:f>Inputs!$G$4+VLOOKUP(M22,Inputs!$A$4:$B$7,2,FALSE)</x:f>
        <x:v>0.155</x:v>
      </x:c>
      <x:c r="E22" s="30" t="n">
        <x:f>B22*D22*N22/Inputs!$G$8</x:f>
        <x:v>11465.753424657534</x:v>
      </x:c>
      <x:c r="F22" s="30" t="n">
        <x:f>B22*Inputs!$G$6</x:f>
        <x:v>9000</x:v>
      </x:c>
      <x:c r="G22" t="str">
        <x:v>60 Days</x:v>
      </x:c>
      <x:c r="H22" s="28" t="n">
        <x:v>60</x:v>
      </x:c>
      <x:c r="I22" s="52" t="n">
        <x:f>Inputs!$G$7</x:f>
        <x:v>0.02</x:v>
      </x:c>
      <x:c r="J22" s="52" t="n">
        <x:f>I22/30</x:f>
        <x:v>0.0006666666666666666</x:v>
      </x:c>
      <x:c r="K22" s="52" t="n">
        <x:f>J22*H22</x:f>
        <x:v>0.04</x:v>
      </x:c>
      <x:c r="L22" s="30" t="n">
        <x:f>(B22+E22)*K22</x:f>
        <x:v>12458.630136986301</x:v>
      </x:c>
      <x:c r="M22" s="30" t="n">
        <x:f>E22</x:f>
        <x:v>11465.753424657534</x:v>
      </x:c>
      <x:c r="N22" s="30">
        <x:f>R22-C22-F22</x:f>
      </x:c>
      <x:c r="O22" s="20" t="str">
        <x:f>IF(ABS(D22-(Inputs!$G$4+Inputs!$B$4))&lt;0.000001,"Low Risk",IF(ABS(D22-(Inputs!$G$4+Inputs!$B$5))&lt;0.000001,"Moderate Risk",IF(ABS(D22-(Inputs!$G$4+Inputs!$B$6))&lt;0.000001,"High Risk","Worst Scenario")))</x:f>
        <x:v>Low Risk</x:v>
      </x:c>
      <x:c r="P22" s="28" t="n">
        <x:f>IF(A22="Purchase Order Funding",Inputs!$G$13,IF(B22=500000,180,IF(B22=750000,365,1095)))</x:f>
        <x:v>90</x:v>
      </x:c>
      <x:c r="Q22" s="20" t="n">
        <x:f>D22</x:f>
        <x:v>0.155</x:v>
      </x:c>
      <x:c r="R22" s="30" t="n">
        <x:f>B22+C22+E22+F22+L22</x:f>
        <x:v>333924.38356164383</x:v>
      </x:c>
      <x:c r="S22" s="30" t="n">
        <x:f>(B22+E22)*J22</x:f>
        <x:v>207.64383561643834</x:v>
      </x:c>
      <x:c r="T22" s="30" t="n">
        <x:f>C22+E22+F22+L22</x:f>
        <x:v>33924.38356164384</x:v>
      </x:c>
      <x:c r="U22" s="30" t="n">
        <x:f>E22</x:f>
        <x:v>11465.753424657534</x:v>
      </x:c>
      <x:c r="V22" s="30" t="n">
        <x:f>C22</x:f>
        <x:v>1000</x:v>
      </x:c>
      <x:c r="W22" s="30" t="n">
        <x:f>F22</x:f>
        <x:v>9000</x:v>
      </x:c>
      <x:c r="X22" s="30" t="n">
        <x:f>L22</x:f>
        <x:v>12458.630136986301</x:v>
      </x:c>
      <x:c r="Y22" s="30" t="n">
        <x:f>SUM(U22:X22)</x:f>
        <x:v>33924.38356164384</x:v>
      </x:c>
    </x:row>
    <x:row r="23">
      <x:c r="A23" t="str">
        <x:v>Purchase Order Funding</x:v>
      </x:c>
      <x:c r="B23" s="30" t="n">
        <x:v>300000</x:v>
      </x:c>
      <x:c r="C23" s="30" t="n">
        <x:f>Inputs!$G$5</x:f>
        <x:v>1000</x:v>
      </x:c>
      <x:c r="D23" s="20" t="n">
        <x:f>Inputs!$G$4+VLOOKUP(M23,Inputs!$A$4:$B$7,2,FALSE)</x:f>
        <x:v>0.155</x:v>
      </x:c>
      <x:c r="E23" s="30" t="n">
        <x:f>B23*D23*N23/Inputs!$G$8</x:f>
        <x:v>11465.753424657534</x:v>
      </x:c>
      <x:c r="F23" s="30" t="n">
        <x:f>B23*Inputs!$G$6</x:f>
        <x:v>9000</x:v>
      </x:c>
      <x:c r="G23" t="str">
        <x:v>90 Days</x:v>
      </x:c>
      <x:c r="H23" s="28" t="n">
        <x:v>90</x:v>
      </x:c>
      <x:c r="I23" s="52" t="n">
        <x:f>Inputs!$G$7</x:f>
        <x:v>0.02</x:v>
      </x:c>
      <x:c r="J23" s="52" t="n">
        <x:f>I23/30</x:f>
        <x:v>0.0006666666666666666</x:v>
      </x:c>
      <x:c r="K23" s="52" t="n">
        <x:f>J23*H23</x:f>
        <x:v>0.06</x:v>
      </x:c>
      <x:c r="L23" s="30" t="n">
        <x:f>(B23+E23)*K23</x:f>
        <x:v>18687.94520547945</x:v>
      </x:c>
      <x:c r="M23" s="30" t="n">
        <x:f>E23</x:f>
        <x:v>11465.753424657534</x:v>
      </x:c>
      <x:c r="N23" s="30">
        <x:f>R23-C23-F23</x:f>
      </x:c>
      <x:c r="O23" s="20" t="str">
        <x:f>IF(ABS(D23-(Inputs!$G$4+Inputs!$B$4))&lt;0.000001,"Low Risk",IF(ABS(D23-(Inputs!$G$4+Inputs!$B$5))&lt;0.000001,"Moderate Risk",IF(ABS(D23-(Inputs!$G$4+Inputs!$B$6))&lt;0.000001,"High Risk","Worst Scenario")))</x:f>
        <x:v>Low Risk</x:v>
      </x:c>
      <x:c r="P23" s="28" t="n">
        <x:f>IF(A23="Purchase Order Funding",Inputs!$G$13,IF(B23=500000,180,IF(B23=750000,365,1095)))</x:f>
        <x:v>90</x:v>
      </x:c>
      <x:c r="Q23" s="20" t="n">
        <x:f>D23</x:f>
        <x:v>0.155</x:v>
      </x:c>
      <x:c r="R23" s="30" t="n">
        <x:f>B23+C23+E23+F23+L23</x:f>
        <x:v>340153.69863013696</x:v>
      </x:c>
      <x:c r="S23" s="30" t="n">
        <x:f>(B23+E23)*J23</x:f>
        <x:v>207.64383561643834</x:v>
      </x:c>
      <x:c r="T23" s="30" t="n">
        <x:f>C23+E23+F23+L23</x:f>
        <x:v>40153.69863013698</x:v>
      </x:c>
      <x:c r="U23" s="30" t="n">
        <x:f>E23</x:f>
        <x:v>11465.753424657534</x:v>
      </x:c>
      <x:c r="V23" s="30" t="n">
        <x:f>C23</x:f>
        <x:v>1000</x:v>
      </x:c>
      <x:c r="W23" s="30" t="n">
        <x:f>F23</x:f>
        <x:v>9000</x:v>
      </x:c>
      <x:c r="X23" s="30" t="n">
        <x:f>L23</x:f>
        <x:v>18687.94520547945</x:v>
      </x:c>
      <x:c r="Y23" s="30" t="n">
        <x:f>SUM(U23:X23)</x:f>
        <x:v>40153.69863013698</x:v>
      </x:c>
    </x:row>
    <x:row r="24">
      <x:c r="A24" t="str">
        <x:v>Purchase Order Funding</x:v>
      </x:c>
      <x:c r="B24" s="30" t="n">
        <x:v>300000</x:v>
      </x:c>
      <x:c r="C24" s="30" t="n">
        <x:f>Inputs!$G$5</x:f>
        <x:v>1000</x:v>
      </x:c>
      <x:c r="D24" s="20" t="n">
        <x:f>Inputs!$G$4+VLOOKUP(M24,Inputs!$A$4:$B$7,2,FALSE)</x:f>
        <x:v>0.155</x:v>
      </x:c>
      <x:c r="E24" s="30" t="n">
        <x:f>B24*D24*N24/Inputs!$G$8</x:f>
        <x:v>11465.753424657534</x:v>
      </x:c>
      <x:c r="F24" s="30" t="n">
        <x:f>B24*Inputs!$G$6</x:f>
        <x:v>9000</x:v>
      </x:c>
      <x:c r="G24" t="str">
        <x:v>120 Days</x:v>
      </x:c>
      <x:c r="H24" s="28" t="n">
        <x:v>120</x:v>
      </x:c>
      <x:c r="I24" s="52" t="n">
        <x:f>Inputs!$G$7</x:f>
        <x:v>0.02</x:v>
      </x:c>
      <x:c r="J24" s="52" t="n">
        <x:f>I24/30</x:f>
        <x:v>0.0006666666666666666</x:v>
      </x:c>
      <x:c r="K24" s="52" t="n">
        <x:f>J24*H24</x:f>
        <x:v>0.08</x:v>
      </x:c>
      <x:c r="L24" s="30" t="n">
        <x:f>(B24+E24)*K24</x:f>
        <x:v>24917.260273972603</x:v>
      </x:c>
      <x:c r="M24" s="30" t="n">
        <x:f>E24</x:f>
        <x:v>11465.753424657534</x:v>
      </x:c>
      <x:c r="N24" s="30">
        <x:f>R24-C24-F24</x:f>
      </x:c>
      <x:c r="O24" s="20" t="str">
        <x:f>IF(ABS(D24-(Inputs!$G$4+Inputs!$B$4))&lt;0.000001,"Low Risk",IF(ABS(D24-(Inputs!$G$4+Inputs!$B$5))&lt;0.000001,"Moderate Risk",IF(ABS(D24-(Inputs!$G$4+Inputs!$B$6))&lt;0.000001,"High Risk","Worst Scenario")))</x:f>
        <x:v>Low Risk</x:v>
      </x:c>
      <x:c r="P24" s="28" t="n">
        <x:f>IF(A24="Purchase Order Funding",Inputs!$G$13,IF(B24=500000,180,IF(B24=750000,365,1095)))</x:f>
        <x:v>90</x:v>
      </x:c>
      <x:c r="Q24" s="20" t="n">
        <x:f>D24</x:f>
        <x:v>0.155</x:v>
      </x:c>
      <x:c r="R24" s="30" t="n">
        <x:f>B24+C24+E24+F24+L24</x:f>
        <x:v>346383.0136986301</x:v>
      </x:c>
      <x:c r="S24" s="30" t="n">
        <x:f>(B24+E24)*J24</x:f>
        <x:v>207.64383561643834</x:v>
      </x:c>
      <x:c r="T24" s="30" t="n">
        <x:f>C24+E24+F24+L24</x:f>
        <x:v>46383.01369863014</x:v>
      </x:c>
      <x:c r="U24" s="30" t="n">
        <x:f>E24</x:f>
        <x:v>11465.753424657534</x:v>
      </x:c>
      <x:c r="V24" s="30" t="n">
        <x:f>C24</x:f>
        <x:v>1000</x:v>
      </x:c>
      <x:c r="W24" s="30" t="n">
        <x:f>F24</x:f>
        <x:v>9000</x:v>
      </x:c>
      <x:c r="X24" s="30" t="n">
        <x:f>L24</x:f>
        <x:v>24917.260273972603</x:v>
      </x:c>
      <x:c r="Y24" s="30" t="n">
        <x:f>SUM(U24:X24)</x:f>
        <x:v>46383.01369863014</x:v>
      </x:c>
    </x:row>
    <x:row r="25">
      <x:c r="A25" t="str">
        <x:v>Purchase Order Funding</x:v>
      </x:c>
      <x:c r="B25" s="30" t="n">
        <x:v>300000</x:v>
      </x:c>
      <x:c r="C25" s="30" t="n">
        <x:f>Inputs!$G$5</x:f>
        <x:v>1000</x:v>
      </x:c>
      <x:c r="D25" s="20" t="n">
        <x:f>Inputs!$G$4+VLOOKUP(M25,Inputs!$A$4:$B$7,2,FALSE)</x:f>
        <x:v>0.16999999999999998</x:v>
      </x:c>
      <x:c r="E25" s="30" t="n">
        <x:f>B25*D25*N25/Inputs!$G$8</x:f>
        <x:v>12575.342465753421</x:v>
      </x:c>
      <x:c r="F25" s="30" t="n">
        <x:f>B25*Inputs!$G$6</x:f>
        <x:v>9000</x:v>
      </x:c>
      <x:c r="G25" t="str">
        <x:v>30 Days</x:v>
      </x:c>
      <x:c r="H25" s="28" t="n">
        <x:v>30</x:v>
      </x:c>
      <x:c r="I25" s="52" t="n">
        <x:f>Inputs!$G$7</x:f>
        <x:v>0.02</x:v>
      </x:c>
      <x:c r="J25" s="52" t="n">
        <x:f>I25/30</x:f>
        <x:v>0.0006666666666666666</x:v>
      </x:c>
      <x:c r="K25" s="52" t="n">
        <x:f>J25*H25</x:f>
        <x:v>0.02</x:v>
      </x:c>
      <x:c r="L25" s="30" t="n">
        <x:f>(B25+E25)*K25</x:f>
        <x:v>6251.506849315068</x:v>
      </x:c>
      <x:c r="M25" s="30" t="n">
        <x:f>E25</x:f>
        <x:v>12575.342465753421</x:v>
      </x:c>
      <x:c r="N25" s="30">
        <x:f>R25-C25-F25</x:f>
      </x:c>
      <x:c r="O25" s="20" t="str">
        <x:f>IF(ABS(D25-(Inputs!$G$4+Inputs!$B$4))&lt;0.000001,"Low Risk",IF(ABS(D25-(Inputs!$G$4+Inputs!$B$5))&lt;0.000001,"Moderate Risk",IF(ABS(D25-(Inputs!$G$4+Inputs!$B$6))&lt;0.000001,"High Risk","Worst Scenario")))</x:f>
        <x:v>Moderate Risk</x:v>
      </x:c>
      <x:c r="P25" s="28" t="n">
        <x:f>IF(A25="Purchase Order Funding",Inputs!$G$13,IF(B25=500000,180,IF(B25=750000,365,1095)))</x:f>
        <x:v>90</x:v>
      </x:c>
      <x:c r="Q25" s="20" t="n">
        <x:f>D25</x:f>
        <x:v>0.16999999999999998</x:v>
      </x:c>
      <x:c r="R25" s="30" t="n">
        <x:f>B25+C25+E25+F25+L25</x:f>
        <x:v>328826.8493150685</x:v>
      </x:c>
      <x:c r="S25" s="30" t="n">
        <x:f>(B25+E25)*J25</x:f>
        <x:v>208.3835616438356</x:v>
      </x:c>
      <x:c r="T25" s="30" t="n">
        <x:f>C25+E25+F25+L25</x:f>
        <x:v>28826.849315068488</x:v>
      </x:c>
      <x:c r="U25" s="30" t="n">
        <x:f>E25</x:f>
        <x:v>12575.342465753421</x:v>
      </x:c>
      <x:c r="V25" s="30" t="n">
        <x:f>C25</x:f>
        <x:v>1000</x:v>
      </x:c>
      <x:c r="W25" s="30" t="n">
        <x:f>F25</x:f>
        <x:v>9000</x:v>
      </x:c>
      <x:c r="X25" s="30" t="n">
        <x:f>L25</x:f>
        <x:v>6251.506849315068</x:v>
      </x:c>
      <x:c r="Y25" s="30" t="n">
        <x:f>SUM(U25:X25)</x:f>
        <x:v>28826.849315068488</x:v>
      </x:c>
    </x:row>
    <x:row r="26">
      <x:c r="A26" t="str">
        <x:v>Purchase Order Funding</x:v>
      </x:c>
      <x:c r="B26" s="30" t="n">
        <x:v>300000</x:v>
      </x:c>
      <x:c r="C26" s="30" t="n">
        <x:f>Inputs!$G$5</x:f>
        <x:v>1000</x:v>
      </x:c>
      <x:c r="D26" s="20" t="n">
        <x:f>Inputs!$G$4+VLOOKUP(M26,Inputs!$A$4:$B$7,2,FALSE)</x:f>
        <x:v>0.16999999999999998</x:v>
      </x:c>
      <x:c r="E26" s="30" t="n">
        <x:f>B26*D26*N26/Inputs!$G$8</x:f>
        <x:v>12575.342465753421</x:v>
      </x:c>
      <x:c r="F26" s="30" t="n">
        <x:f>B26*Inputs!$G$6</x:f>
        <x:v>9000</x:v>
      </x:c>
      <x:c r="G26" t="str">
        <x:v>60 Days</x:v>
      </x:c>
      <x:c r="H26" s="28" t="n">
        <x:v>60</x:v>
      </x:c>
      <x:c r="I26" s="52" t="n">
        <x:f>Inputs!$G$7</x:f>
        <x:v>0.02</x:v>
      </x:c>
      <x:c r="J26" s="52" t="n">
        <x:f>I26/30</x:f>
        <x:v>0.0006666666666666666</x:v>
      </x:c>
      <x:c r="K26" s="52" t="n">
        <x:f>J26*H26</x:f>
        <x:v>0.04</x:v>
      </x:c>
      <x:c r="L26" s="30" t="n">
        <x:f>(B26+E26)*K26</x:f>
        <x:v>12503.013698630137</x:v>
      </x:c>
      <x:c r="M26" s="30" t="n">
        <x:f>E26</x:f>
        <x:v>12575.342465753421</x:v>
      </x:c>
      <x:c r="N26" s="30">
        <x:f>R26-C26-F26</x:f>
      </x:c>
      <x:c r="O26" s="20" t="str">
        <x:f>IF(ABS(D26-(Inputs!$G$4+Inputs!$B$4))&lt;0.000001,"Low Risk",IF(ABS(D26-(Inputs!$G$4+Inputs!$B$5))&lt;0.000001,"Moderate Risk",IF(ABS(D26-(Inputs!$G$4+Inputs!$B$6))&lt;0.000001,"High Risk","Worst Scenario")))</x:f>
        <x:v>Moderate Risk</x:v>
      </x:c>
      <x:c r="P26" s="28" t="n">
        <x:f>IF(A26="Purchase Order Funding",Inputs!$G$13,IF(B26=500000,180,IF(B26=750000,365,1095)))</x:f>
        <x:v>90</x:v>
      </x:c>
      <x:c r="Q26" s="20" t="n">
        <x:f>D26</x:f>
        <x:v>0.16999999999999998</x:v>
      </x:c>
      <x:c r="R26" s="30" t="n">
        <x:f>B26+C26+E26+F26+L26</x:f>
        <x:v>335078.3561643836</x:v>
      </x:c>
      <x:c r="S26" s="30" t="n">
        <x:f>(B26+E26)*J26</x:f>
        <x:v>208.3835616438356</x:v>
      </x:c>
      <x:c r="T26" s="30" t="n">
        <x:f>C26+E26+F26+L26</x:f>
        <x:v>35078.35616438356</x:v>
      </x:c>
      <x:c r="U26" s="30" t="n">
        <x:f>E26</x:f>
        <x:v>12575.342465753421</x:v>
      </x:c>
      <x:c r="V26" s="30" t="n">
        <x:f>C26</x:f>
        <x:v>1000</x:v>
      </x:c>
      <x:c r="W26" s="30" t="n">
        <x:f>F26</x:f>
        <x:v>9000</x:v>
      </x:c>
      <x:c r="X26" s="30" t="n">
        <x:f>L26</x:f>
        <x:v>12503.013698630137</x:v>
      </x:c>
      <x:c r="Y26" s="30" t="n">
        <x:f>SUM(U26:X26)</x:f>
        <x:v>35078.35616438356</x:v>
      </x:c>
    </x:row>
    <x:row r="27">
      <x:c r="A27" t="str">
        <x:v>Purchase Order Funding</x:v>
      </x:c>
      <x:c r="B27" s="30" t="n">
        <x:v>300000</x:v>
      </x:c>
      <x:c r="C27" s="30" t="n">
        <x:f>Inputs!$G$5</x:f>
        <x:v>1000</x:v>
      </x:c>
      <x:c r="D27" s="20" t="n">
        <x:f>Inputs!$G$4+VLOOKUP(M27,Inputs!$A$4:$B$7,2,FALSE)</x:f>
        <x:v>0.16999999999999998</x:v>
      </x:c>
      <x:c r="E27" s="30" t="n">
        <x:f>B27*D27*N27/Inputs!$G$8</x:f>
        <x:v>12575.342465753421</x:v>
      </x:c>
      <x:c r="F27" s="30" t="n">
        <x:f>B27*Inputs!$G$6</x:f>
        <x:v>9000</x:v>
      </x:c>
      <x:c r="G27" t="str">
        <x:v>90 Days</x:v>
      </x:c>
      <x:c r="H27" s="28" t="n">
        <x:v>90</x:v>
      </x:c>
      <x:c r="I27" s="52" t="n">
        <x:f>Inputs!$G$7</x:f>
        <x:v>0.02</x:v>
      </x:c>
      <x:c r="J27" s="52" t="n">
        <x:f>I27/30</x:f>
        <x:v>0.0006666666666666666</x:v>
      </x:c>
      <x:c r="K27" s="52" t="n">
        <x:f>J27*H27</x:f>
        <x:v>0.06</x:v>
      </x:c>
      <x:c r="L27" s="30" t="n">
        <x:f>(B27+E27)*K27</x:f>
        <x:v>18754.520547945205</x:v>
      </x:c>
      <x:c r="M27" s="30" t="n">
        <x:f>E27</x:f>
        <x:v>12575.342465753421</x:v>
      </x:c>
      <x:c r="N27" s="30">
        <x:f>R27-C27-F27</x:f>
      </x:c>
      <x:c r="O27" s="20" t="str">
        <x:f>IF(ABS(D27-(Inputs!$G$4+Inputs!$B$4))&lt;0.000001,"Low Risk",IF(ABS(D27-(Inputs!$G$4+Inputs!$B$5))&lt;0.000001,"Moderate Risk",IF(ABS(D27-(Inputs!$G$4+Inputs!$B$6))&lt;0.000001,"High Risk","Worst Scenario")))</x:f>
        <x:v>Moderate Risk</x:v>
      </x:c>
      <x:c r="P27" s="28" t="n">
        <x:f>IF(A27="Purchase Order Funding",Inputs!$G$13,IF(B27=500000,180,IF(B27=750000,365,1095)))</x:f>
        <x:v>90</x:v>
      </x:c>
      <x:c r="Q27" s="20" t="n">
        <x:f>D27</x:f>
        <x:v>0.16999999999999998</x:v>
      </x:c>
      <x:c r="R27" s="30" t="n">
        <x:f>B27+C27+E27+F27+L27</x:f>
        <x:v>341329.86301369866</x:v>
      </x:c>
      <x:c r="S27" s="30" t="n">
        <x:f>(B27+E27)*J27</x:f>
        <x:v>208.3835616438356</x:v>
      </x:c>
      <x:c r="T27" s="30" t="n">
        <x:f>C27+E27+F27+L27</x:f>
        <x:v>41329.863013698625</x:v>
      </x:c>
      <x:c r="U27" s="30" t="n">
        <x:f>E27</x:f>
        <x:v>12575.342465753421</x:v>
      </x:c>
      <x:c r="V27" s="30" t="n">
        <x:f>C27</x:f>
        <x:v>1000</x:v>
      </x:c>
      <x:c r="W27" s="30" t="n">
        <x:f>F27</x:f>
        <x:v>9000</x:v>
      </x:c>
      <x:c r="X27" s="30" t="n">
        <x:f>L27</x:f>
        <x:v>18754.520547945205</x:v>
      </x:c>
      <x:c r="Y27" s="30" t="n">
        <x:f>SUM(U27:X27)</x:f>
        <x:v>41329.863013698625</x:v>
      </x:c>
    </x:row>
    <x:row r="28">
      <x:c r="A28" t="str">
        <x:v>Purchase Order Funding</x:v>
      </x:c>
      <x:c r="B28" s="30" t="n">
        <x:v>300000</x:v>
      </x:c>
      <x:c r="C28" s="30" t="n">
        <x:f>Inputs!$G$5</x:f>
        <x:v>1000</x:v>
      </x:c>
      <x:c r="D28" s="20" t="n">
        <x:f>Inputs!$G$4+VLOOKUP(M28,Inputs!$A$4:$B$7,2,FALSE)</x:f>
        <x:v>0.16999999999999998</x:v>
      </x:c>
      <x:c r="E28" s="30" t="n">
        <x:f>B28*D28*N28/Inputs!$G$8</x:f>
        <x:v>12575.342465753421</x:v>
      </x:c>
      <x:c r="F28" s="30" t="n">
        <x:f>B28*Inputs!$G$6</x:f>
        <x:v>9000</x:v>
      </x:c>
      <x:c r="G28" t="str">
        <x:v>120 Days</x:v>
      </x:c>
      <x:c r="H28" s="28" t="n">
        <x:v>120</x:v>
      </x:c>
      <x:c r="I28" s="52" t="n">
        <x:f>Inputs!$G$7</x:f>
        <x:v>0.02</x:v>
      </x:c>
      <x:c r="J28" s="52" t="n">
        <x:f>I28/30</x:f>
        <x:v>0.0006666666666666666</x:v>
      </x:c>
      <x:c r="K28" s="52" t="n">
        <x:f>J28*H28</x:f>
        <x:v>0.08</x:v>
      </x:c>
      <x:c r="L28" s="30" t="n">
        <x:f>(B28+E28)*K28</x:f>
        <x:v>25006.027397260274</x:v>
      </x:c>
      <x:c r="M28" s="30" t="n">
        <x:f>E28</x:f>
        <x:v>12575.342465753421</x:v>
      </x:c>
      <x:c r="N28" s="30">
        <x:f>R28-C28-F28</x:f>
      </x:c>
      <x:c r="O28" s="20" t="str">
        <x:f>IF(ABS(D28-(Inputs!$G$4+Inputs!$B$4))&lt;0.000001,"Low Risk",IF(ABS(D28-(Inputs!$G$4+Inputs!$B$5))&lt;0.000001,"Moderate Risk",IF(ABS(D28-(Inputs!$G$4+Inputs!$B$6))&lt;0.000001,"High Risk","Worst Scenario")))</x:f>
        <x:v>Moderate Risk</x:v>
      </x:c>
      <x:c r="P28" s="28" t="n">
        <x:f>IF(A28="Purchase Order Funding",Inputs!$G$13,IF(B28=500000,180,IF(B28=750000,365,1095)))</x:f>
        <x:v>90</x:v>
      </x:c>
      <x:c r="Q28" s="20" t="n">
        <x:f>D28</x:f>
        <x:v>0.16999999999999998</x:v>
      </x:c>
      <x:c r="R28" s="30" t="n">
        <x:f>B28+C28+E28+F28+L28</x:f>
        <x:v>347581.36986301374</x:v>
      </x:c>
      <x:c r="S28" s="30" t="n">
        <x:f>(B28+E28)*J28</x:f>
        <x:v>208.3835616438356</x:v>
      </x:c>
      <x:c r="T28" s="30" t="n">
        <x:f>C28+E28+F28+L28</x:f>
        <x:v>47581.36986301369</x:v>
      </x:c>
      <x:c r="U28" s="30" t="n">
        <x:f>E28</x:f>
        <x:v>12575.342465753421</x:v>
      </x:c>
      <x:c r="V28" s="30" t="n">
        <x:f>C28</x:f>
        <x:v>1000</x:v>
      </x:c>
      <x:c r="W28" s="30" t="n">
        <x:f>F28</x:f>
        <x:v>9000</x:v>
      </x:c>
      <x:c r="X28" s="30" t="n">
        <x:f>L28</x:f>
        <x:v>25006.027397260274</x:v>
      </x:c>
      <x:c r="Y28" s="30" t="n">
        <x:f>SUM(U28:X28)</x:f>
        <x:v>47581.36986301369</x:v>
      </x:c>
    </x:row>
    <x:row r="29">
      <x:c r="A29" t="str">
        <x:v>Purchase Order Funding</x:v>
      </x:c>
      <x:c r="B29" s="30" t="n">
        <x:v>300000</x:v>
      </x:c>
      <x:c r="C29" s="30" t="n">
        <x:f>Inputs!$G$5</x:f>
        <x:v>1000</x:v>
      </x:c>
      <x:c r="D29" s="20" t="n">
        <x:f>Inputs!$G$4+VLOOKUP(M29,Inputs!$A$4:$B$7,2,FALSE)</x:f>
        <x:v>0.19</x:v>
      </x:c>
      <x:c r="E29" s="30" t="n">
        <x:f>B29*D29*N29/Inputs!$G$8</x:f>
        <x:v>14054.794520547945</x:v>
      </x:c>
      <x:c r="F29" s="30" t="n">
        <x:f>B29*Inputs!$G$6</x:f>
        <x:v>9000</x:v>
      </x:c>
      <x:c r="G29" t="str">
        <x:v>30 Days</x:v>
      </x:c>
      <x:c r="H29" s="28" t="n">
        <x:v>30</x:v>
      </x:c>
      <x:c r="I29" s="52" t="n">
        <x:f>Inputs!$G$7</x:f>
        <x:v>0.02</x:v>
      </x:c>
      <x:c r="J29" s="52" t="n">
        <x:f>I29/30</x:f>
        <x:v>0.0006666666666666666</x:v>
      </x:c>
      <x:c r="K29" s="52" t="n">
        <x:f>J29*H29</x:f>
        <x:v>0.02</x:v>
      </x:c>
      <x:c r="L29" s="30" t="n">
        <x:f>(B29+E29)*K29</x:f>
        <x:v>6281.095890410959</x:v>
      </x:c>
      <x:c r="M29" s="30" t="n">
        <x:f>E29</x:f>
        <x:v>14054.794520547945</x:v>
      </x:c>
      <x:c r="N29" s="30">
        <x:f>R29-C29-F29</x:f>
      </x:c>
      <x:c r="O29" s="20" t="str">
        <x:f>IF(ABS(D29-(Inputs!$G$4+Inputs!$B$4))&lt;0.000001,"Low Risk",IF(ABS(D29-(Inputs!$G$4+Inputs!$B$5))&lt;0.000001,"Moderate Risk",IF(ABS(D29-(Inputs!$G$4+Inputs!$B$6))&lt;0.000001,"High Risk","Worst Scenario")))</x:f>
        <x:v>High Risk</x:v>
      </x:c>
      <x:c r="P29" s="28" t="n">
        <x:f>IF(A29="Purchase Order Funding",Inputs!$G$13,IF(B29=500000,180,IF(B29=750000,365,1095)))</x:f>
        <x:v>90</x:v>
      </x:c>
      <x:c r="Q29" s="20" t="n">
        <x:f>D29</x:f>
        <x:v>0.19</x:v>
      </x:c>
      <x:c r="R29" s="30" t="n">
        <x:f>B29+C29+E29+F29+L29</x:f>
        <x:v>330335.8904109589</x:v>
      </x:c>
      <x:c r="S29" s="30" t="n">
        <x:f>(B29+E29)*J29</x:f>
        <x:v>209.36986301369865</x:v>
      </x:c>
      <x:c r="T29" s="30" t="n">
        <x:f>C29+E29+F29+L29</x:f>
        <x:v>30335.890410958906</x:v>
      </x:c>
      <x:c r="U29" s="30" t="n">
        <x:f>E29</x:f>
        <x:v>14054.794520547945</x:v>
      </x:c>
      <x:c r="V29" s="30" t="n">
        <x:f>C29</x:f>
        <x:v>1000</x:v>
      </x:c>
      <x:c r="W29" s="30" t="n">
        <x:f>F29</x:f>
        <x:v>9000</x:v>
      </x:c>
      <x:c r="X29" s="30" t="n">
        <x:f>L29</x:f>
        <x:v>6281.095890410959</x:v>
      </x:c>
      <x:c r="Y29" s="30" t="n">
        <x:f>SUM(U29:X29)</x:f>
        <x:v>30335.890410958906</x:v>
      </x:c>
    </x:row>
    <x:row r="30">
      <x:c r="A30" t="str">
        <x:v>Purchase Order Funding</x:v>
      </x:c>
      <x:c r="B30" s="30" t="n">
        <x:v>300000</x:v>
      </x:c>
      <x:c r="C30" s="30" t="n">
        <x:f>Inputs!$G$5</x:f>
        <x:v>1000</x:v>
      </x:c>
      <x:c r="D30" s="20" t="n">
        <x:f>Inputs!$G$4+VLOOKUP(M30,Inputs!$A$4:$B$7,2,FALSE)</x:f>
        <x:v>0.19</x:v>
      </x:c>
      <x:c r="E30" s="30" t="n">
        <x:f>B30*D30*N30/Inputs!$G$8</x:f>
        <x:v>14054.794520547945</x:v>
      </x:c>
      <x:c r="F30" s="30" t="n">
        <x:f>B30*Inputs!$G$6</x:f>
        <x:v>9000</x:v>
      </x:c>
      <x:c r="G30" t="str">
        <x:v>60 Days</x:v>
      </x:c>
      <x:c r="H30" s="28" t="n">
        <x:v>60</x:v>
      </x:c>
      <x:c r="I30" s="52" t="n">
        <x:f>Inputs!$G$7</x:f>
        <x:v>0.02</x:v>
      </x:c>
      <x:c r="J30" s="52" t="n">
        <x:f>I30/30</x:f>
        <x:v>0.0006666666666666666</x:v>
      </x:c>
      <x:c r="K30" s="52" t="n">
        <x:f>J30*H30</x:f>
        <x:v>0.04</x:v>
      </x:c>
      <x:c r="L30" s="30" t="n">
        <x:f>(B30+E30)*K30</x:f>
        <x:v>12562.191780821919</x:v>
      </x:c>
      <x:c r="M30" s="30" t="n">
        <x:f>E30</x:f>
        <x:v>14054.794520547945</x:v>
      </x:c>
      <x:c r="N30" s="30">
        <x:f>R30-C30-F30</x:f>
      </x:c>
      <x:c r="O30" s="20" t="str">
        <x:f>IF(ABS(D30-(Inputs!$G$4+Inputs!$B$4))&lt;0.000001,"Low Risk",IF(ABS(D30-(Inputs!$G$4+Inputs!$B$5))&lt;0.000001,"Moderate Risk",IF(ABS(D30-(Inputs!$G$4+Inputs!$B$6))&lt;0.000001,"High Risk","Worst Scenario")))</x:f>
        <x:v>High Risk</x:v>
      </x:c>
      <x:c r="P30" s="28" t="n">
        <x:f>IF(A30="Purchase Order Funding",Inputs!$G$13,IF(B30=500000,180,IF(B30=750000,365,1095)))</x:f>
        <x:v>90</x:v>
      </x:c>
      <x:c r="Q30" s="20" t="n">
        <x:f>D30</x:f>
        <x:v>0.19</x:v>
      </x:c>
      <x:c r="R30" s="30" t="n">
        <x:f>B30+C30+E30+F30+L30</x:f>
        <x:v>336616.9863013699</x:v>
      </x:c>
      <x:c r="S30" s="30" t="n">
        <x:f>(B30+E30)*J30</x:f>
        <x:v>209.36986301369865</x:v>
      </x:c>
      <x:c r="T30" s="30" t="n">
        <x:f>C30+E30+F30+L30</x:f>
        <x:v>36616.98630136986</x:v>
      </x:c>
      <x:c r="U30" s="30" t="n">
        <x:f>E30</x:f>
        <x:v>14054.794520547945</x:v>
      </x:c>
      <x:c r="V30" s="30" t="n">
        <x:f>C30</x:f>
        <x:v>1000</x:v>
      </x:c>
      <x:c r="W30" s="30" t="n">
        <x:f>F30</x:f>
        <x:v>9000</x:v>
      </x:c>
      <x:c r="X30" s="30" t="n">
        <x:f>L30</x:f>
        <x:v>12562.191780821919</x:v>
      </x:c>
      <x:c r="Y30" s="30" t="n">
        <x:f>SUM(U30:X30)</x:f>
        <x:v>36616.98630136986</x:v>
      </x:c>
    </x:row>
    <x:row r="31">
      <x:c r="A31" t="str">
        <x:v>Purchase Order Funding</x:v>
      </x:c>
      <x:c r="B31" s="30" t="n">
        <x:v>300000</x:v>
      </x:c>
      <x:c r="C31" s="30" t="n">
        <x:f>Inputs!$G$5</x:f>
        <x:v>1000</x:v>
      </x:c>
      <x:c r="D31" s="20" t="n">
        <x:f>Inputs!$G$4+VLOOKUP(M31,Inputs!$A$4:$B$7,2,FALSE)</x:f>
        <x:v>0.19</x:v>
      </x:c>
      <x:c r="E31" s="30" t="n">
        <x:f>B31*D31*N31/Inputs!$G$8</x:f>
        <x:v>14054.794520547945</x:v>
      </x:c>
      <x:c r="F31" s="30" t="n">
        <x:f>B31*Inputs!$G$6</x:f>
        <x:v>9000</x:v>
      </x:c>
      <x:c r="G31" t="str">
        <x:v>90 Days</x:v>
      </x:c>
      <x:c r="H31" s="28" t="n">
        <x:v>90</x:v>
      </x:c>
      <x:c r="I31" s="52" t="n">
        <x:f>Inputs!$G$7</x:f>
        <x:v>0.02</x:v>
      </x:c>
      <x:c r="J31" s="52" t="n">
        <x:f>I31/30</x:f>
        <x:v>0.0006666666666666666</x:v>
      </x:c>
      <x:c r="K31" s="52" t="n">
        <x:f>J31*H31</x:f>
        <x:v>0.06</x:v>
      </x:c>
      <x:c r="L31" s="30" t="n">
        <x:f>(B31+E31)*K31</x:f>
        <x:v>18843.287671232876</x:v>
      </x:c>
      <x:c r="M31" s="30" t="n">
        <x:f>E31</x:f>
        <x:v>14054.794520547945</x:v>
      </x:c>
      <x:c r="N31" s="30">
        <x:f>R31-C31-F31</x:f>
      </x:c>
      <x:c r="O31" s="20" t="str">
        <x:f>IF(ABS(D31-(Inputs!$G$4+Inputs!$B$4))&lt;0.000001,"Low Risk",IF(ABS(D31-(Inputs!$G$4+Inputs!$B$5))&lt;0.000001,"Moderate Risk",IF(ABS(D31-(Inputs!$G$4+Inputs!$B$6))&lt;0.000001,"High Risk","Worst Scenario")))</x:f>
        <x:v>High Risk</x:v>
      </x:c>
      <x:c r="P31" s="28" t="n">
        <x:f>IF(A31="Purchase Order Funding",Inputs!$G$13,IF(B31=500000,180,IF(B31=750000,365,1095)))</x:f>
        <x:v>90</x:v>
      </x:c>
      <x:c r="Q31" s="20" t="n">
        <x:f>D31</x:f>
        <x:v>0.19</x:v>
      </x:c>
      <x:c r="R31" s="30" t="n">
        <x:f>B31+C31+E31+F31+L31</x:f>
        <x:v>342898.08219178085</x:v>
      </x:c>
      <x:c r="S31" s="30" t="n">
        <x:f>(B31+E31)*J31</x:f>
        <x:v>209.36986301369865</x:v>
      </x:c>
      <x:c r="T31" s="30" t="n">
        <x:f>C31+E31+F31+L31</x:f>
        <x:v>42898.08219178082</x:v>
      </x:c>
      <x:c r="U31" s="30" t="n">
        <x:f>E31</x:f>
        <x:v>14054.794520547945</x:v>
      </x:c>
      <x:c r="V31" s="30" t="n">
        <x:f>C31</x:f>
        <x:v>1000</x:v>
      </x:c>
      <x:c r="W31" s="30" t="n">
        <x:f>F31</x:f>
        <x:v>9000</x:v>
      </x:c>
      <x:c r="X31" s="30" t="n">
        <x:f>L31</x:f>
        <x:v>18843.287671232876</x:v>
      </x:c>
      <x:c r="Y31" s="30" t="n">
        <x:f>SUM(U31:X31)</x:f>
        <x:v>42898.08219178082</x:v>
      </x:c>
    </x:row>
    <x:row r="32">
      <x:c r="A32" t="str">
        <x:v>Purchase Order Funding</x:v>
      </x:c>
      <x:c r="B32" s="30" t="n">
        <x:v>300000</x:v>
      </x:c>
      <x:c r="C32" s="30" t="n">
        <x:f>Inputs!$G$5</x:f>
        <x:v>1000</x:v>
      </x:c>
      <x:c r="D32" s="20" t="n">
        <x:f>Inputs!$G$4+VLOOKUP(M32,Inputs!$A$4:$B$7,2,FALSE)</x:f>
        <x:v>0.19</x:v>
      </x:c>
      <x:c r="E32" s="30" t="n">
        <x:f>B32*D32*N32/Inputs!$G$8</x:f>
        <x:v>14054.794520547945</x:v>
      </x:c>
      <x:c r="F32" s="30" t="n">
        <x:f>B32*Inputs!$G$6</x:f>
        <x:v>9000</x:v>
      </x:c>
      <x:c r="G32" t="str">
        <x:v>120 Days</x:v>
      </x:c>
      <x:c r="H32" s="28" t="n">
        <x:v>120</x:v>
      </x:c>
      <x:c r="I32" s="52" t="n">
        <x:f>Inputs!$G$7</x:f>
        <x:v>0.02</x:v>
      </x:c>
      <x:c r="J32" s="52" t="n">
        <x:f>I32/30</x:f>
        <x:v>0.0006666666666666666</x:v>
      </x:c>
      <x:c r="K32" s="52" t="n">
        <x:f>J32*H32</x:f>
        <x:v>0.08</x:v>
      </x:c>
      <x:c r="L32" s="30" t="n">
        <x:f>(B32+E32)*K32</x:f>
        <x:v>25124.383561643837</x:v>
      </x:c>
      <x:c r="M32" s="30" t="n">
        <x:f>E32</x:f>
        <x:v>14054.794520547945</x:v>
      </x:c>
      <x:c r="N32" s="30">
        <x:f>R32-C32-F32</x:f>
      </x:c>
      <x:c r="O32" s="20" t="str">
        <x:f>IF(ABS(D32-(Inputs!$G$4+Inputs!$B$4))&lt;0.000001,"Low Risk",IF(ABS(D32-(Inputs!$G$4+Inputs!$B$5))&lt;0.000001,"Moderate Risk",IF(ABS(D32-(Inputs!$G$4+Inputs!$B$6))&lt;0.000001,"High Risk","Worst Scenario")))</x:f>
        <x:v>High Risk</x:v>
      </x:c>
      <x:c r="P32" s="28" t="n">
        <x:f>IF(A32="Purchase Order Funding",Inputs!$G$13,IF(B32=500000,180,IF(B32=750000,365,1095)))</x:f>
        <x:v>90</x:v>
      </x:c>
      <x:c r="Q32" s="20" t="n">
        <x:f>D32</x:f>
        <x:v>0.19</x:v>
      </x:c>
      <x:c r="R32" s="30" t="n">
        <x:f>B32+C32+E32+F32+L32</x:f>
        <x:v>349179.1780821918</x:v>
      </x:c>
      <x:c r="S32" s="30" t="n">
        <x:f>(B32+E32)*J32</x:f>
        <x:v>209.36986301369865</x:v>
      </x:c>
      <x:c r="T32" s="30" t="n">
        <x:f>C32+E32+F32+L32</x:f>
        <x:v>49179.17808219178</x:v>
      </x:c>
      <x:c r="U32" s="30" t="n">
        <x:f>E32</x:f>
        <x:v>14054.794520547945</x:v>
      </x:c>
      <x:c r="V32" s="30" t="n">
        <x:f>C32</x:f>
        <x:v>1000</x:v>
      </x:c>
      <x:c r="W32" s="30" t="n">
        <x:f>F32</x:f>
        <x:v>9000</x:v>
      </x:c>
      <x:c r="X32" s="30" t="n">
        <x:f>L32</x:f>
        <x:v>25124.383561643837</x:v>
      </x:c>
      <x:c r="Y32" s="30" t="n">
        <x:f>SUM(U32:X32)</x:f>
        <x:v>49179.17808219178</x:v>
      </x:c>
    </x:row>
    <x:row r="33">
      <x:c r="A33" t="str">
        <x:v>Purchase Order Funding</x:v>
      </x:c>
      <x:c r="B33" s="30" t="n">
        <x:v>300000</x:v>
      </x:c>
      <x:c r="C33" s="30" t="n">
        <x:f>Inputs!$G$5</x:f>
        <x:v>1000</x:v>
      </x:c>
      <x:c r="D33" s="20" t="n">
        <x:f>Inputs!$G$4+VLOOKUP(M33,Inputs!$A$4:$B$7,2,FALSE)</x:f>
        <x:v>0.21</x:v>
      </x:c>
      <x:c r="E33" s="30" t="n">
        <x:f>B33*D33*N33/Inputs!$G$8</x:f>
        <x:v>15534.246575342466</x:v>
      </x:c>
      <x:c r="F33" s="30" t="n">
        <x:f>B33*Inputs!$G$6</x:f>
        <x:v>9000</x:v>
      </x:c>
      <x:c r="G33" t="str">
        <x:v>30 Days</x:v>
      </x:c>
      <x:c r="H33" s="28" t="n">
        <x:v>30</x:v>
      </x:c>
      <x:c r="I33" s="52" t="n">
        <x:f>Inputs!$G$7</x:f>
        <x:v>0.02</x:v>
      </x:c>
      <x:c r="J33" s="52" t="n">
        <x:f>I33/30</x:f>
        <x:v>0.0006666666666666666</x:v>
      </x:c>
      <x:c r="K33" s="52" t="n">
        <x:f>J33*H33</x:f>
        <x:v>0.02</x:v>
      </x:c>
      <x:c r="L33" s="30" t="n">
        <x:f>(B33+E33)*K33</x:f>
        <x:v>6310.68493150685</x:v>
      </x:c>
      <x:c r="M33" s="30" t="n">
        <x:f>E33</x:f>
        <x:v>15534.246575342466</x:v>
      </x:c>
      <x:c r="N33" s="30">
        <x:f>R33-C33-F33</x:f>
      </x:c>
      <x:c r="O33" s="20" t="str">
        <x:f>IF(ABS(D33-(Inputs!$G$4+Inputs!$B$4))&lt;0.000001,"Low Risk",IF(ABS(D33-(Inputs!$G$4+Inputs!$B$5))&lt;0.000001,"Moderate Risk",IF(ABS(D33-(Inputs!$G$4+Inputs!$B$6))&lt;0.000001,"High Risk","Worst Scenario")))</x:f>
        <x:v>Worst Scenario</x:v>
      </x:c>
      <x:c r="P33" s="28" t="n">
        <x:f>IF(A33="Purchase Order Funding",Inputs!$G$13,IF(B33=500000,180,IF(B33=750000,365,1095)))</x:f>
        <x:v>90</x:v>
      </x:c>
      <x:c r="Q33" s="20" t="n">
        <x:f>D33</x:f>
        <x:v>0.21</x:v>
      </x:c>
      <x:c r="R33" s="30" t="n">
        <x:f>B33+C33+E33+F33+L33</x:f>
        <x:v>331844.93150684936</x:v>
      </x:c>
      <x:c r="S33" s="30" t="n">
        <x:f>(B33+E33)*J33</x:f>
        <x:v>210.35616438356166</x:v>
      </x:c>
      <x:c r="T33" s="30" t="n">
        <x:f>C33+E33+F33+L33</x:f>
        <x:v>31844.931506849316</x:v>
      </x:c>
      <x:c r="U33" s="30" t="n">
        <x:f>E33</x:f>
        <x:v>15534.246575342466</x:v>
      </x:c>
      <x:c r="V33" s="30" t="n">
        <x:f>C33</x:f>
        <x:v>1000</x:v>
      </x:c>
      <x:c r="W33" s="30" t="n">
        <x:f>F33</x:f>
        <x:v>9000</x:v>
      </x:c>
      <x:c r="X33" s="30" t="n">
        <x:f>L33</x:f>
        <x:v>6310.68493150685</x:v>
      </x:c>
      <x:c r="Y33" s="30" t="n">
        <x:f>SUM(U33:X33)</x:f>
        <x:v>31844.931506849316</x:v>
      </x:c>
    </x:row>
    <x:row r="34">
      <x:c r="A34" t="str">
        <x:v>Purchase Order Funding</x:v>
      </x:c>
      <x:c r="B34" s="30" t="n">
        <x:v>300000</x:v>
      </x:c>
      <x:c r="C34" s="30" t="n">
        <x:f>Inputs!$G$5</x:f>
        <x:v>1000</x:v>
      </x:c>
      <x:c r="D34" s="20" t="n">
        <x:f>Inputs!$G$4+VLOOKUP(M34,Inputs!$A$4:$B$7,2,FALSE)</x:f>
        <x:v>0.21</x:v>
      </x:c>
      <x:c r="E34" s="30" t="n">
        <x:f>B34*D34*N34/Inputs!$G$8</x:f>
        <x:v>15534.246575342466</x:v>
      </x:c>
      <x:c r="F34" s="30" t="n">
        <x:f>B34*Inputs!$G$6</x:f>
        <x:v>9000</x:v>
      </x:c>
      <x:c r="G34" t="str">
        <x:v>60 Days</x:v>
      </x:c>
      <x:c r="H34" s="28" t="n">
        <x:v>60</x:v>
      </x:c>
      <x:c r="I34" s="52" t="n">
        <x:f>Inputs!$G$7</x:f>
        <x:v>0.02</x:v>
      </x:c>
      <x:c r="J34" s="52" t="n">
        <x:f>I34/30</x:f>
        <x:v>0.0006666666666666666</x:v>
      </x:c>
      <x:c r="K34" s="52" t="n">
        <x:f>J34*H34</x:f>
        <x:v>0.04</x:v>
      </x:c>
      <x:c r="L34" s="30" t="n">
        <x:f>(B34+E34)*K34</x:f>
        <x:v>12621.3698630137</x:v>
      </x:c>
      <x:c r="M34" s="30" t="n">
        <x:f>E34</x:f>
        <x:v>15534.246575342466</x:v>
      </x:c>
      <x:c r="N34" s="30">
        <x:f>R34-C34-F34</x:f>
      </x:c>
      <x:c r="O34" s="20" t="str">
        <x:f>IF(ABS(D34-(Inputs!$G$4+Inputs!$B$4))&lt;0.000001,"Low Risk",IF(ABS(D34-(Inputs!$G$4+Inputs!$B$5))&lt;0.000001,"Moderate Risk",IF(ABS(D34-(Inputs!$G$4+Inputs!$B$6))&lt;0.000001,"High Risk","Worst Scenario")))</x:f>
        <x:v>Worst Scenario</x:v>
      </x:c>
      <x:c r="P34" s="28" t="n">
        <x:f>IF(A34="Purchase Order Funding",Inputs!$G$13,IF(B34=500000,180,IF(B34=750000,365,1095)))</x:f>
        <x:v>90</x:v>
      </x:c>
      <x:c r="Q34" s="20" t="n">
        <x:f>D34</x:f>
        <x:v>0.21</x:v>
      </x:c>
      <x:c r="R34" s="30" t="n">
        <x:f>B34+C34+E34+F34+L34</x:f>
        <x:v>338155.61643835617</x:v>
      </x:c>
      <x:c r="S34" s="30" t="n">
        <x:f>(B34+E34)*J34</x:f>
        <x:v>210.35616438356166</x:v>
      </x:c>
      <x:c r="T34" s="30" t="n">
        <x:f>C34+E34+F34+L34</x:f>
        <x:v>38155.61643835617</x:v>
      </x:c>
      <x:c r="U34" s="30" t="n">
        <x:f>E34</x:f>
        <x:v>15534.246575342466</x:v>
      </x:c>
      <x:c r="V34" s="30" t="n">
        <x:f>C34</x:f>
        <x:v>1000</x:v>
      </x:c>
      <x:c r="W34" s="30" t="n">
        <x:f>F34</x:f>
        <x:v>9000</x:v>
      </x:c>
      <x:c r="X34" s="30" t="n">
        <x:f>L34</x:f>
        <x:v>12621.3698630137</x:v>
      </x:c>
      <x:c r="Y34" s="30" t="n">
        <x:f>SUM(U34:X34)</x:f>
        <x:v>38155.61643835617</x:v>
      </x:c>
    </x:row>
    <x:row r="35">
      <x:c r="A35" t="str">
        <x:v>Purchase Order Funding</x:v>
      </x:c>
      <x:c r="B35" s="30" t="n">
        <x:v>300000</x:v>
      </x:c>
      <x:c r="C35" s="30" t="n">
        <x:f>Inputs!$G$5</x:f>
        <x:v>1000</x:v>
      </x:c>
      <x:c r="D35" s="20" t="n">
        <x:f>Inputs!$G$4+VLOOKUP(M35,Inputs!$A$4:$B$7,2,FALSE)</x:f>
        <x:v>0.21</x:v>
      </x:c>
      <x:c r="E35" s="30" t="n">
        <x:f>B35*D35*N35/Inputs!$G$8</x:f>
        <x:v>15534.246575342466</x:v>
      </x:c>
      <x:c r="F35" s="30" t="n">
        <x:f>B35*Inputs!$G$6</x:f>
        <x:v>9000</x:v>
      </x:c>
      <x:c r="G35" t="str">
        <x:v>90 Days</x:v>
      </x:c>
      <x:c r="H35" s="28" t="n">
        <x:v>90</x:v>
      </x:c>
      <x:c r="I35" s="52" t="n">
        <x:f>Inputs!$G$7</x:f>
        <x:v>0.02</x:v>
      </x:c>
      <x:c r="J35" s="52" t="n">
        <x:f>I35/30</x:f>
        <x:v>0.0006666666666666666</x:v>
      </x:c>
      <x:c r="K35" s="52" t="n">
        <x:f>J35*H35</x:f>
        <x:v>0.06</x:v>
      </x:c>
      <x:c r="L35" s="30" t="n">
        <x:f>(B35+E35)*K35</x:f>
        <x:v>18932.054794520547</x:v>
      </x:c>
      <x:c r="M35" s="30" t="n">
        <x:f>E35</x:f>
        <x:v>15534.246575342466</x:v>
      </x:c>
      <x:c r="N35" s="30">
        <x:f>R35-C35-F35</x:f>
      </x:c>
      <x:c r="O35" s="20" t="str">
        <x:f>IF(ABS(D35-(Inputs!$G$4+Inputs!$B$4))&lt;0.000001,"Low Risk",IF(ABS(D35-(Inputs!$G$4+Inputs!$B$5))&lt;0.000001,"Moderate Risk",IF(ABS(D35-(Inputs!$G$4+Inputs!$B$6))&lt;0.000001,"High Risk","Worst Scenario")))</x:f>
        <x:v>Worst Scenario</x:v>
      </x:c>
      <x:c r="P35" s="28" t="n">
        <x:f>IF(A35="Purchase Order Funding",Inputs!$G$13,IF(B35=500000,180,IF(B35=750000,365,1095)))</x:f>
        <x:v>90</x:v>
      </x:c>
      <x:c r="Q35" s="20" t="n">
        <x:f>D35</x:f>
        <x:v>0.21</x:v>
      </x:c>
      <x:c r="R35" s="30" t="n">
        <x:f>B35+C35+E35+F35+L35</x:f>
        <x:v>344466.30136986304</x:v>
      </x:c>
      <x:c r="S35" s="30" t="n">
        <x:f>(B35+E35)*J35</x:f>
        <x:v>210.35616438356166</x:v>
      </x:c>
      <x:c r="T35" s="30" t="n">
        <x:f>C35+E35+F35+L35</x:f>
        <x:v>44466.30136986301</x:v>
      </x:c>
      <x:c r="U35" s="30" t="n">
        <x:f>E35</x:f>
        <x:v>15534.246575342466</x:v>
      </x:c>
      <x:c r="V35" s="30" t="n">
        <x:f>C35</x:f>
        <x:v>1000</x:v>
      </x:c>
      <x:c r="W35" s="30" t="n">
        <x:f>F35</x:f>
        <x:v>9000</x:v>
      </x:c>
      <x:c r="X35" s="30" t="n">
        <x:f>L35</x:f>
        <x:v>18932.054794520547</x:v>
      </x:c>
      <x:c r="Y35" s="30" t="n">
        <x:f>SUM(U35:X35)</x:f>
        <x:v>44466.30136986301</x:v>
      </x:c>
    </x:row>
    <x:row r="36">
      <x:c r="A36" t="str">
        <x:v>Purchase Order Funding</x:v>
      </x:c>
      <x:c r="B36" s="30" t="n">
        <x:v>300000</x:v>
      </x:c>
      <x:c r="C36" s="30" t="n">
        <x:f>Inputs!$G$5</x:f>
        <x:v>1000</x:v>
      </x:c>
      <x:c r="D36" s="20" t="n">
        <x:f>Inputs!$G$4+VLOOKUP(M36,Inputs!$A$4:$B$7,2,FALSE)</x:f>
        <x:v>0.21</x:v>
      </x:c>
      <x:c r="E36" s="30" t="n">
        <x:f>B36*D36*N36/Inputs!$G$8</x:f>
        <x:v>15534.246575342466</x:v>
      </x:c>
      <x:c r="F36" s="30" t="n">
        <x:f>B36*Inputs!$G$6</x:f>
        <x:v>9000</x:v>
      </x:c>
      <x:c r="G36" t="str">
        <x:v>120 Days</x:v>
      </x:c>
      <x:c r="H36" s="28" t="n">
        <x:v>120</x:v>
      </x:c>
      <x:c r="I36" s="52" t="n">
        <x:f>Inputs!$G$7</x:f>
        <x:v>0.02</x:v>
      </x:c>
      <x:c r="J36" s="52" t="n">
        <x:f>I36/30</x:f>
        <x:v>0.0006666666666666666</x:v>
      </x:c>
      <x:c r="K36" s="52" t="n">
        <x:f>J36*H36</x:f>
        <x:v>0.08</x:v>
      </x:c>
      <x:c r="L36" s="30" t="n">
        <x:f>(B36+E36)*K36</x:f>
        <x:v>25242.7397260274</x:v>
      </x:c>
      <x:c r="M36" s="30" t="n">
        <x:f>E36</x:f>
        <x:v>15534.246575342466</x:v>
      </x:c>
      <x:c r="N36" s="30">
        <x:f>R36-C36-F36</x:f>
      </x:c>
      <x:c r="O36" s="20" t="str">
        <x:f>IF(ABS(D36-(Inputs!$G$4+Inputs!$B$4))&lt;0.000001,"Low Risk",IF(ABS(D36-(Inputs!$G$4+Inputs!$B$5))&lt;0.000001,"Moderate Risk",IF(ABS(D36-(Inputs!$G$4+Inputs!$B$6))&lt;0.000001,"High Risk","Worst Scenario")))</x:f>
        <x:v>Worst Scenario</x:v>
      </x:c>
      <x:c r="P36" s="28" t="n">
        <x:f>IF(A36="Purchase Order Funding",Inputs!$G$13,IF(B36=500000,180,IF(B36=750000,365,1095)))</x:f>
        <x:v>90</x:v>
      </x:c>
      <x:c r="Q36" s="20" t="n">
        <x:f>D36</x:f>
        <x:v>0.21</x:v>
      </x:c>
      <x:c r="R36" s="30" t="n">
        <x:f>B36+C36+E36+F36+L36</x:f>
        <x:v>350776.9863013699</x:v>
      </x:c>
      <x:c r="S36" s="30" t="n">
        <x:f>(B36+E36)*J36</x:f>
        <x:v>210.35616438356166</x:v>
      </x:c>
      <x:c r="T36" s="30" t="n">
        <x:f>C36+E36+F36+L36</x:f>
        <x:v>50776.98630136986</x:v>
      </x:c>
      <x:c r="U36" s="30" t="n">
        <x:f>E36</x:f>
        <x:v>15534.246575342466</x:v>
      </x:c>
      <x:c r="V36" s="30" t="n">
        <x:f>C36</x:f>
        <x:v>1000</x:v>
      </x:c>
      <x:c r="W36" s="30" t="n">
        <x:f>F36</x:f>
        <x:v>9000</x:v>
      </x:c>
      <x:c r="X36" s="30" t="n">
        <x:f>L36</x:f>
        <x:v>25242.7397260274</x:v>
      </x:c>
      <x:c r="Y36" s="30" t="n">
        <x:f>SUM(U36:X36)</x:f>
        <x:v>50776.98630136986</x:v>
      </x:c>
    </x:row>
    <x:row r="37">
      <x:c r="A37" t="str">
        <x:v>Purchase Order Funding</x:v>
      </x:c>
      <x:c r="B37" s="30" t="n">
        <x:v>400000</x:v>
      </x:c>
      <x:c r="C37" s="30" t="n">
        <x:f>Inputs!$G$5</x:f>
        <x:v>1000</x:v>
      </x:c>
      <x:c r="D37" s="20" t="n">
        <x:f>Inputs!$G$4+VLOOKUP(M37,Inputs!$A$4:$B$7,2,FALSE)</x:f>
        <x:v>0.155</x:v>
      </x:c>
      <x:c r="E37" s="30" t="n">
        <x:f>B37*D37*N37/Inputs!$G$8</x:f>
        <x:v>15287.671232876712</x:v>
      </x:c>
      <x:c r="F37" s="30" t="n">
        <x:f>B37*Inputs!$G$6</x:f>
        <x:v>12000</x:v>
      </x:c>
      <x:c r="G37" t="str">
        <x:v>30 Days</x:v>
      </x:c>
      <x:c r="H37" s="28" t="n">
        <x:v>30</x:v>
      </x:c>
      <x:c r="I37" s="52" t="n">
        <x:f>Inputs!$G$7</x:f>
        <x:v>0.02</x:v>
      </x:c>
      <x:c r="J37" s="52" t="n">
        <x:f>I37/30</x:f>
        <x:v>0.0006666666666666666</x:v>
      </x:c>
      <x:c r="K37" s="52" t="n">
        <x:f>J37*H37</x:f>
        <x:v>0.02</x:v>
      </x:c>
      <x:c r="L37" s="30" t="n">
        <x:f>(B37+E37)*K37</x:f>
        <x:v>8305.753424657534</x:v>
      </x:c>
      <x:c r="M37" s="30" t="n">
        <x:f>E37</x:f>
        <x:v>15287.671232876712</x:v>
      </x:c>
      <x:c r="N37" s="30">
        <x:f>R37-C37-F37</x:f>
      </x:c>
      <x:c r="O37" s="20" t="str">
        <x:f>IF(ABS(D37-(Inputs!$G$4+Inputs!$B$4))&lt;0.000001,"Low Risk",IF(ABS(D37-(Inputs!$G$4+Inputs!$B$5))&lt;0.000001,"Moderate Risk",IF(ABS(D37-(Inputs!$G$4+Inputs!$B$6))&lt;0.000001,"High Risk","Worst Scenario")))</x:f>
        <x:v>Low Risk</x:v>
      </x:c>
      <x:c r="P37" s="28" t="n">
        <x:f>IF(A37="Purchase Order Funding",Inputs!$G$13,IF(B37=500000,180,IF(B37=750000,365,1095)))</x:f>
        <x:v>90</x:v>
      </x:c>
      <x:c r="Q37" s="20" t="n">
        <x:f>D37</x:f>
        <x:v>0.155</x:v>
      </x:c>
      <x:c r="R37" s="30" t="n">
        <x:f>B37+C37+E37+F37+L37</x:f>
        <x:v>436593.4246575342</x:v>
      </x:c>
      <x:c r="S37" s="30" t="n">
        <x:f>(B37+E37)*J37</x:f>
        <x:v>276.8584474885845</x:v>
      </x:c>
      <x:c r="T37" s="30" t="n">
        <x:f>C37+E37+F37+L37</x:f>
        <x:v>36593.42465753424</x:v>
      </x:c>
      <x:c r="U37" s="30" t="n">
        <x:f>E37</x:f>
        <x:v>15287.671232876712</x:v>
      </x:c>
      <x:c r="V37" s="30" t="n">
        <x:f>C37</x:f>
        <x:v>1000</x:v>
      </x:c>
      <x:c r="W37" s="30" t="n">
        <x:f>F37</x:f>
        <x:v>12000</x:v>
      </x:c>
      <x:c r="X37" s="30" t="n">
        <x:f>L37</x:f>
        <x:v>8305.753424657534</x:v>
      </x:c>
      <x:c r="Y37" s="30" t="n">
        <x:f>SUM(U37:X37)</x:f>
        <x:v>36593.42465753424</x:v>
      </x:c>
    </x:row>
    <x:row r="38">
      <x:c r="A38" t="str">
        <x:v>Purchase Order Funding</x:v>
      </x:c>
      <x:c r="B38" s="30" t="n">
        <x:v>400000</x:v>
      </x:c>
      <x:c r="C38" s="30" t="n">
        <x:f>Inputs!$G$5</x:f>
        <x:v>1000</x:v>
      </x:c>
      <x:c r="D38" s="20" t="n">
        <x:f>Inputs!$G$4+VLOOKUP(M38,Inputs!$A$4:$B$7,2,FALSE)</x:f>
        <x:v>0.155</x:v>
      </x:c>
      <x:c r="E38" s="30" t="n">
        <x:f>B38*D38*N38/Inputs!$G$8</x:f>
        <x:v>15287.671232876712</x:v>
      </x:c>
      <x:c r="F38" s="30" t="n">
        <x:f>B38*Inputs!$G$6</x:f>
        <x:v>12000</x:v>
      </x:c>
      <x:c r="G38" t="str">
        <x:v>60 Days</x:v>
      </x:c>
      <x:c r="H38" s="28" t="n">
        <x:v>60</x:v>
      </x:c>
      <x:c r="I38" s="52" t="n">
        <x:f>Inputs!$G$7</x:f>
        <x:v>0.02</x:v>
      </x:c>
      <x:c r="J38" s="52" t="n">
        <x:f>I38/30</x:f>
        <x:v>0.0006666666666666666</x:v>
      </x:c>
      <x:c r="K38" s="52" t="n">
        <x:f>J38*H38</x:f>
        <x:v>0.04</x:v>
      </x:c>
      <x:c r="L38" s="30" t="n">
        <x:f>(B38+E38)*K38</x:f>
        <x:v>16611.50684931507</x:v>
      </x:c>
      <x:c r="M38" s="30" t="n">
        <x:f>E38</x:f>
        <x:v>15287.671232876712</x:v>
      </x:c>
      <x:c r="N38" s="30">
        <x:f>R38-C38-F38</x:f>
      </x:c>
      <x:c r="O38" s="20" t="str">
        <x:f>IF(ABS(D38-(Inputs!$G$4+Inputs!$B$4))&lt;0.000001,"Low Risk",IF(ABS(D38-(Inputs!$G$4+Inputs!$B$5))&lt;0.000001,"Moderate Risk",IF(ABS(D38-(Inputs!$G$4+Inputs!$B$6))&lt;0.000001,"High Risk","Worst Scenario")))</x:f>
        <x:v>Low Risk</x:v>
      </x:c>
      <x:c r="P38" s="28" t="n">
        <x:f>IF(A38="Purchase Order Funding",Inputs!$G$13,IF(B38=500000,180,IF(B38=750000,365,1095)))</x:f>
        <x:v>90</x:v>
      </x:c>
      <x:c r="Q38" s="20" t="n">
        <x:f>D38</x:f>
        <x:v>0.155</x:v>
      </x:c>
      <x:c r="R38" s="30" t="n">
        <x:f>B38+C38+E38+F38+L38</x:f>
        <x:v>444899.1780821918</x:v>
      </x:c>
      <x:c r="S38" s="30" t="n">
        <x:f>(B38+E38)*J38</x:f>
        <x:v>276.8584474885845</x:v>
      </x:c>
      <x:c r="T38" s="30" t="n">
        <x:f>C38+E38+F38+L38</x:f>
        <x:v>44899.17808219178</x:v>
      </x:c>
      <x:c r="U38" s="30" t="n">
        <x:f>E38</x:f>
        <x:v>15287.671232876712</x:v>
      </x:c>
      <x:c r="V38" s="30" t="n">
        <x:f>C38</x:f>
        <x:v>1000</x:v>
      </x:c>
      <x:c r="W38" s="30" t="n">
        <x:f>F38</x:f>
        <x:v>12000</x:v>
      </x:c>
      <x:c r="X38" s="30" t="n">
        <x:f>L38</x:f>
        <x:v>16611.50684931507</x:v>
      </x:c>
      <x:c r="Y38" s="30" t="n">
        <x:f>SUM(U38:X38)</x:f>
        <x:v>44899.17808219178</x:v>
      </x:c>
    </x:row>
    <x:row r="39">
      <x:c r="A39" t="str">
        <x:v>Purchase Order Funding</x:v>
      </x:c>
      <x:c r="B39" s="30" t="n">
        <x:v>400000</x:v>
      </x:c>
      <x:c r="C39" s="30" t="n">
        <x:f>Inputs!$G$5</x:f>
        <x:v>1000</x:v>
      </x:c>
      <x:c r="D39" s="20" t="n">
        <x:f>Inputs!$G$4+VLOOKUP(M39,Inputs!$A$4:$B$7,2,FALSE)</x:f>
        <x:v>0.155</x:v>
      </x:c>
      <x:c r="E39" s="30" t="n">
        <x:f>B39*D39*N39/Inputs!$G$8</x:f>
        <x:v>15287.671232876712</x:v>
      </x:c>
      <x:c r="F39" s="30" t="n">
        <x:f>B39*Inputs!$G$6</x:f>
        <x:v>12000</x:v>
      </x:c>
      <x:c r="G39" t="str">
        <x:v>90 Days</x:v>
      </x:c>
      <x:c r="H39" s="28" t="n">
        <x:v>90</x:v>
      </x:c>
      <x:c r="I39" s="52" t="n">
        <x:f>Inputs!$G$7</x:f>
        <x:v>0.02</x:v>
      </x:c>
      <x:c r="J39" s="52" t="n">
        <x:f>I39/30</x:f>
        <x:v>0.0006666666666666666</x:v>
      </x:c>
      <x:c r="K39" s="52" t="n">
        <x:f>J39*H39</x:f>
        <x:v>0.06</x:v>
      </x:c>
      <x:c r="L39" s="30" t="n">
        <x:f>(B39+E39)*K39</x:f>
        <x:v>24917.260273972603</x:v>
      </x:c>
      <x:c r="M39" s="30" t="n">
        <x:f>E39</x:f>
        <x:v>15287.671232876712</x:v>
      </x:c>
      <x:c r="N39" s="30">
        <x:f>R39-C39-F39</x:f>
      </x:c>
      <x:c r="O39" s="20" t="str">
        <x:f>IF(ABS(D39-(Inputs!$G$4+Inputs!$B$4))&lt;0.000001,"Low Risk",IF(ABS(D39-(Inputs!$G$4+Inputs!$B$5))&lt;0.000001,"Moderate Risk",IF(ABS(D39-(Inputs!$G$4+Inputs!$B$6))&lt;0.000001,"High Risk","Worst Scenario")))</x:f>
        <x:v>Low Risk</x:v>
      </x:c>
      <x:c r="P39" s="28" t="n">
        <x:f>IF(A39="Purchase Order Funding",Inputs!$G$13,IF(B39=500000,180,IF(B39=750000,365,1095)))</x:f>
        <x:v>90</x:v>
      </x:c>
      <x:c r="Q39" s="20" t="n">
        <x:f>D39</x:f>
        <x:v>0.155</x:v>
      </x:c>
      <x:c r="R39" s="30" t="n">
        <x:f>B39+C39+E39+F39+L39</x:f>
        <x:v>453204.9315068493</x:v>
      </x:c>
      <x:c r="S39" s="30" t="n">
        <x:f>(B39+E39)*J39</x:f>
        <x:v>276.8584474885845</x:v>
      </x:c>
      <x:c r="T39" s="30" t="n">
        <x:f>C39+E39+F39+L39</x:f>
        <x:v>53204.931506849316</x:v>
      </x:c>
      <x:c r="U39" s="30" t="n">
        <x:f>E39</x:f>
        <x:v>15287.671232876712</x:v>
      </x:c>
      <x:c r="V39" s="30" t="n">
        <x:f>C39</x:f>
        <x:v>1000</x:v>
      </x:c>
      <x:c r="W39" s="30" t="n">
        <x:f>F39</x:f>
        <x:v>12000</x:v>
      </x:c>
      <x:c r="X39" s="30" t="n">
        <x:f>L39</x:f>
        <x:v>24917.260273972603</x:v>
      </x:c>
      <x:c r="Y39" s="30" t="n">
        <x:f>SUM(U39:X39)</x:f>
        <x:v>53204.931506849316</x:v>
      </x:c>
    </x:row>
    <x:row r="40">
      <x:c r="A40" t="str">
        <x:v>Purchase Order Funding</x:v>
      </x:c>
      <x:c r="B40" s="30" t="n">
        <x:v>400000</x:v>
      </x:c>
      <x:c r="C40" s="30" t="n">
        <x:f>Inputs!$G$5</x:f>
        <x:v>1000</x:v>
      </x:c>
      <x:c r="D40" s="20" t="n">
        <x:f>Inputs!$G$4+VLOOKUP(M40,Inputs!$A$4:$B$7,2,FALSE)</x:f>
        <x:v>0.155</x:v>
      </x:c>
      <x:c r="E40" s="30" t="n">
        <x:f>B40*D40*N40/Inputs!$G$8</x:f>
        <x:v>15287.671232876712</x:v>
      </x:c>
      <x:c r="F40" s="30" t="n">
        <x:f>B40*Inputs!$G$6</x:f>
        <x:v>12000</x:v>
      </x:c>
      <x:c r="G40" t="str">
        <x:v>120 Days</x:v>
      </x:c>
      <x:c r="H40" s="28" t="n">
        <x:v>120</x:v>
      </x:c>
      <x:c r="I40" s="52" t="n">
        <x:f>Inputs!$G$7</x:f>
        <x:v>0.02</x:v>
      </x:c>
      <x:c r="J40" s="52" t="n">
        <x:f>I40/30</x:f>
        <x:v>0.0006666666666666666</x:v>
      </x:c>
      <x:c r="K40" s="52" t="n">
        <x:f>J40*H40</x:f>
        <x:v>0.08</x:v>
      </x:c>
      <x:c r="L40" s="30" t="n">
        <x:f>(B40+E40)*K40</x:f>
        <x:v>33223.01369863014</x:v>
      </x:c>
      <x:c r="M40" s="30" t="n">
        <x:f>E40</x:f>
        <x:v>15287.671232876712</x:v>
      </x:c>
      <x:c r="N40" s="30">
        <x:f>R40-C40-F40</x:f>
      </x:c>
      <x:c r="O40" s="20" t="str">
        <x:f>IF(ABS(D40-(Inputs!$G$4+Inputs!$B$4))&lt;0.000001,"Low Risk",IF(ABS(D40-(Inputs!$G$4+Inputs!$B$5))&lt;0.000001,"Moderate Risk",IF(ABS(D40-(Inputs!$G$4+Inputs!$B$6))&lt;0.000001,"High Risk","Worst Scenario")))</x:f>
        <x:v>Low Risk</x:v>
      </x:c>
      <x:c r="P40" s="28" t="n">
        <x:f>IF(A40="Purchase Order Funding",Inputs!$G$13,IF(B40=500000,180,IF(B40=750000,365,1095)))</x:f>
        <x:v>90</x:v>
      </x:c>
      <x:c r="Q40" s="20" t="n">
        <x:f>D40</x:f>
        <x:v>0.155</x:v>
      </x:c>
      <x:c r="R40" s="30" t="n">
        <x:f>B40+C40+E40+F40+L40</x:f>
        <x:v>461510.68493150687</x:v>
      </x:c>
      <x:c r="S40" s="30" t="n">
        <x:f>(B40+E40)*J40</x:f>
        <x:v>276.8584474885845</x:v>
      </x:c>
      <x:c r="T40" s="30" t="n">
        <x:f>C40+E40+F40+L40</x:f>
        <x:v>61510.68493150685</x:v>
      </x:c>
      <x:c r="U40" s="30" t="n">
        <x:f>E40</x:f>
        <x:v>15287.671232876712</x:v>
      </x:c>
      <x:c r="V40" s="30" t="n">
        <x:f>C40</x:f>
        <x:v>1000</x:v>
      </x:c>
      <x:c r="W40" s="30" t="n">
        <x:f>F40</x:f>
        <x:v>12000</x:v>
      </x:c>
      <x:c r="X40" s="30" t="n">
        <x:f>L40</x:f>
        <x:v>33223.01369863014</x:v>
      </x:c>
      <x:c r="Y40" s="30" t="n">
        <x:f>SUM(U40:X40)</x:f>
        <x:v>61510.68493150685</x:v>
      </x:c>
    </x:row>
    <x:row r="41">
      <x:c r="A41" t="str">
        <x:v>Purchase Order Funding</x:v>
      </x:c>
      <x:c r="B41" s="30" t="n">
        <x:v>400000</x:v>
      </x:c>
      <x:c r="C41" s="30" t="n">
        <x:f>Inputs!$G$5</x:f>
        <x:v>1000</x:v>
      </x:c>
      <x:c r="D41" s="20" t="n">
        <x:f>Inputs!$G$4+VLOOKUP(M41,Inputs!$A$4:$B$7,2,FALSE)</x:f>
        <x:v>0.16999999999999998</x:v>
      </x:c>
      <x:c r="E41" s="30" t="n">
        <x:f>B41*D41*N41/Inputs!$G$8</x:f>
        <x:v>16767.12328767123</x:v>
      </x:c>
      <x:c r="F41" s="30" t="n">
        <x:f>B41*Inputs!$G$6</x:f>
        <x:v>12000</x:v>
      </x:c>
      <x:c r="G41" t="str">
        <x:v>30 Days</x:v>
      </x:c>
      <x:c r="H41" s="28" t="n">
        <x:v>30</x:v>
      </x:c>
      <x:c r="I41" s="52" t="n">
        <x:f>Inputs!$G$7</x:f>
        <x:v>0.02</x:v>
      </x:c>
      <x:c r="J41" s="52" t="n">
        <x:f>I41/30</x:f>
        <x:v>0.0006666666666666666</x:v>
      </x:c>
      <x:c r="K41" s="52" t="n">
        <x:f>J41*H41</x:f>
        <x:v>0.02</x:v>
      </x:c>
      <x:c r="L41" s="30" t="n">
        <x:f>(B41+E41)*K41</x:f>
        <x:v>8335.342465753425</x:v>
      </x:c>
      <x:c r="M41" s="30" t="n">
        <x:f>E41</x:f>
        <x:v>16767.12328767123</x:v>
      </x:c>
      <x:c r="N41" s="30">
        <x:f>R41-C41-F41</x:f>
      </x:c>
      <x:c r="O41" s="20" t="str">
        <x:f>IF(ABS(D41-(Inputs!$G$4+Inputs!$B$4))&lt;0.000001,"Low Risk",IF(ABS(D41-(Inputs!$G$4+Inputs!$B$5))&lt;0.000001,"Moderate Risk",IF(ABS(D41-(Inputs!$G$4+Inputs!$B$6))&lt;0.000001,"High Risk","Worst Scenario")))</x:f>
        <x:v>Moderate Risk</x:v>
      </x:c>
      <x:c r="P41" s="28" t="n">
        <x:f>IF(A41="Purchase Order Funding",Inputs!$G$13,IF(B41=500000,180,IF(B41=750000,365,1095)))</x:f>
        <x:v>90</x:v>
      </x:c>
      <x:c r="Q41" s="20" t="n">
        <x:f>D41</x:f>
        <x:v>0.16999999999999998</x:v>
      </x:c>
      <x:c r="R41" s="30" t="n">
        <x:f>B41+C41+E41+F41+L41</x:f>
        <x:v>438102.4657534247</x:v>
      </x:c>
      <x:c r="S41" s="30" t="n">
        <x:f>(B41+E41)*J41</x:f>
        <x:v>277.8447488584475</x:v>
      </x:c>
      <x:c r="T41" s="30" t="n">
        <x:f>C41+E41+F41+L41</x:f>
        <x:v>38102.46575342466</x:v>
      </x:c>
      <x:c r="U41" s="30" t="n">
        <x:f>E41</x:f>
        <x:v>16767.12328767123</x:v>
      </x:c>
      <x:c r="V41" s="30" t="n">
        <x:f>C41</x:f>
        <x:v>1000</x:v>
      </x:c>
      <x:c r="W41" s="30" t="n">
        <x:f>F41</x:f>
        <x:v>12000</x:v>
      </x:c>
      <x:c r="X41" s="30" t="n">
        <x:f>L41</x:f>
        <x:v>8335.342465753425</x:v>
      </x:c>
      <x:c r="Y41" s="30" t="n">
        <x:f>SUM(U41:X41)</x:f>
        <x:v>38102.46575342466</x:v>
      </x:c>
    </x:row>
    <x:row r="42">
      <x:c r="A42" t="str">
        <x:v>Purchase Order Funding</x:v>
      </x:c>
      <x:c r="B42" s="30" t="n">
        <x:v>400000</x:v>
      </x:c>
      <x:c r="C42" s="30" t="n">
        <x:f>Inputs!$G$5</x:f>
        <x:v>1000</x:v>
      </x:c>
      <x:c r="D42" s="20" t="n">
        <x:f>Inputs!$G$4+VLOOKUP(M42,Inputs!$A$4:$B$7,2,FALSE)</x:f>
        <x:v>0.16999999999999998</x:v>
      </x:c>
      <x:c r="E42" s="30" t="n">
        <x:f>B42*D42*N42/Inputs!$G$8</x:f>
        <x:v>16767.12328767123</x:v>
      </x:c>
      <x:c r="F42" s="30" t="n">
        <x:f>B42*Inputs!$G$6</x:f>
        <x:v>12000</x:v>
      </x:c>
      <x:c r="G42" t="str">
        <x:v>60 Days</x:v>
      </x:c>
      <x:c r="H42" s="28" t="n">
        <x:v>60</x:v>
      </x:c>
      <x:c r="I42" s="52" t="n">
        <x:f>Inputs!$G$7</x:f>
        <x:v>0.02</x:v>
      </x:c>
      <x:c r="J42" s="52" t="n">
        <x:f>I42/30</x:f>
        <x:v>0.0006666666666666666</x:v>
      </x:c>
      <x:c r="K42" s="52" t="n">
        <x:f>J42*H42</x:f>
        <x:v>0.04</x:v>
      </x:c>
      <x:c r="L42" s="30" t="n">
        <x:f>(B42+E42)*K42</x:f>
        <x:v>16670.68493150685</x:v>
      </x:c>
      <x:c r="M42" s="30" t="n">
        <x:f>E42</x:f>
        <x:v>16767.12328767123</x:v>
      </x:c>
      <x:c r="N42" s="30">
        <x:f>R42-C42-F42</x:f>
      </x:c>
      <x:c r="O42" s="20" t="str">
        <x:f>IF(ABS(D42-(Inputs!$G$4+Inputs!$B$4))&lt;0.000001,"Low Risk",IF(ABS(D42-(Inputs!$G$4+Inputs!$B$5))&lt;0.000001,"Moderate Risk",IF(ABS(D42-(Inputs!$G$4+Inputs!$B$6))&lt;0.000001,"High Risk","Worst Scenario")))</x:f>
        <x:v>Moderate Risk</x:v>
      </x:c>
      <x:c r="P42" s="28" t="n">
        <x:f>IF(A42="Purchase Order Funding",Inputs!$G$13,IF(B42=500000,180,IF(B42=750000,365,1095)))</x:f>
        <x:v>90</x:v>
      </x:c>
      <x:c r="Q42" s="20" t="n">
        <x:f>D42</x:f>
        <x:v>0.16999999999999998</x:v>
      </x:c>
      <x:c r="R42" s="30" t="n">
        <x:f>B42+C42+E42+F42+L42</x:f>
        <x:v>446437.8082191781</x:v>
      </x:c>
      <x:c r="S42" s="30" t="n">
        <x:f>(B42+E42)*J42</x:f>
        <x:v>277.8447488584475</x:v>
      </x:c>
      <x:c r="T42" s="30" t="n">
        <x:f>C42+E42+F42+L42</x:f>
        <x:v>46437.808219178085</x:v>
      </x:c>
      <x:c r="U42" s="30" t="n">
        <x:f>E42</x:f>
        <x:v>16767.12328767123</x:v>
      </x:c>
      <x:c r="V42" s="30" t="n">
        <x:f>C42</x:f>
        <x:v>1000</x:v>
      </x:c>
      <x:c r="W42" s="30" t="n">
        <x:f>F42</x:f>
        <x:v>12000</x:v>
      </x:c>
      <x:c r="X42" s="30" t="n">
        <x:f>L42</x:f>
        <x:v>16670.68493150685</x:v>
      </x:c>
      <x:c r="Y42" s="30" t="n">
        <x:f>SUM(U42:X42)</x:f>
        <x:v>46437.808219178085</x:v>
      </x:c>
    </x:row>
    <x:row r="43">
      <x:c r="A43" t="str">
        <x:v>Purchase Order Funding</x:v>
      </x:c>
      <x:c r="B43" s="30" t="n">
        <x:v>400000</x:v>
      </x:c>
      <x:c r="C43" s="30" t="n">
        <x:f>Inputs!$G$5</x:f>
        <x:v>1000</x:v>
      </x:c>
      <x:c r="D43" s="20" t="n">
        <x:f>Inputs!$G$4+VLOOKUP(M43,Inputs!$A$4:$B$7,2,FALSE)</x:f>
        <x:v>0.16999999999999998</x:v>
      </x:c>
      <x:c r="E43" s="30" t="n">
        <x:f>B43*D43*N43/Inputs!$G$8</x:f>
        <x:v>16767.12328767123</x:v>
      </x:c>
      <x:c r="F43" s="30" t="n">
        <x:f>B43*Inputs!$G$6</x:f>
        <x:v>12000</x:v>
      </x:c>
      <x:c r="G43" t="str">
        <x:v>90 Days</x:v>
      </x:c>
      <x:c r="H43" s="28" t="n">
        <x:v>90</x:v>
      </x:c>
      <x:c r="I43" s="52" t="n">
        <x:f>Inputs!$G$7</x:f>
        <x:v>0.02</x:v>
      </x:c>
      <x:c r="J43" s="52" t="n">
        <x:f>I43/30</x:f>
        <x:v>0.0006666666666666666</x:v>
      </x:c>
      <x:c r="K43" s="52" t="n">
        <x:f>J43*H43</x:f>
        <x:v>0.06</x:v>
      </x:c>
      <x:c r="L43" s="30" t="n">
        <x:f>(B43+E43)*K43</x:f>
        <x:v>25006.027397260274</x:v>
      </x:c>
      <x:c r="M43" s="30" t="n">
        <x:f>E43</x:f>
        <x:v>16767.12328767123</x:v>
      </x:c>
      <x:c r="N43" s="30">
        <x:f>R43-C43-F43</x:f>
      </x:c>
      <x:c r="O43" s="20" t="str">
        <x:f>IF(ABS(D43-(Inputs!$G$4+Inputs!$B$4))&lt;0.000001,"Low Risk",IF(ABS(D43-(Inputs!$G$4+Inputs!$B$5))&lt;0.000001,"Moderate Risk",IF(ABS(D43-(Inputs!$G$4+Inputs!$B$6))&lt;0.000001,"High Risk","Worst Scenario")))</x:f>
        <x:v>Moderate Risk</x:v>
      </x:c>
      <x:c r="P43" s="28" t="n">
        <x:f>IF(A43="Purchase Order Funding",Inputs!$G$13,IF(B43=500000,180,IF(B43=750000,365,1095)))</x:f>
        <x:v>90</x:v>
      </x:c>
      <x:c r="Q43" s="20" t="n">
        <x:f>D43</x:f>
        <x:v>0.16999999999999998</x:v>
      </x:c>
      <x:c r="R43" s="30" t="n">
        <x:f>B43+C43+E43+F43+L43</x:f>
        <x:v>454773.15068493155</x:v>
      </x:c>
      <x:c r="S43" s="30" t="n">
        <x:f>(B43+E43)*J43</x:f>
        <x:v>277.8447488584475</x:v>
      </x:c>
      <x:c r="T43" s="30" t="n">
        <x:f>C43+E43+F43+L43</x:f>
        <x:v>54773.150684931505</x:v>
      </x:c>
      <x:c r="U43" s="30" t="n">
        <x:f>E43</x:f>
        <x:v>16767.12328767123</x:v>
      </x:c>
      <x:c r="V43" s="30" t="n">
        <x:f>C43</x:f>
        <x:v>1000</x:v>
      </x:c>
      <x:c r="W43" s="30" t="n">
        <x:f>F43</x:f>
        <x:v>12000</x:v>
      </x:c>
      <x:c r="X43" s="30" t="n">
        <x:f>L43</x:f>
        <x:v>25006.027397260274</x:v>
      </x:c>
      <x:c r="Y43" s="30" t="n">
        <x:f>SUM(U43:X43)</x:f>
        <x:v>54773.150684931505</x:v>
      </x:c>
    </x:row>
    <x:row r="44">
      <x:c r="A44" t="str">
        <x:v>Purchase Order Funding</x:v>
      </x:c>
      <x:c r="B44" s="30" t="n">
        <x:v>400000</x:v>
      </x:c>
      <x:c r="C44" s="30" t="n">
        <x:f>Inputs!$G$5</x:f>
        <x:v>1000</x:v>
      </x:c>
      <x:c r="D44" s="20" t="n">
        <x:f>Inputs!$G$4+VLOOKUP(M44,Inputs!$A$4:$B$7,2,FALSE)</x:f>
        <x:v>0.16999999999999998</x:v>
      </x:c>
      <x:c r="E44" s="30" t="n">
        <x:f>B44*D44*N44/Inputs!$G$8</x:f>
        <x:v>16767.12328767123</x:v>
      </x:c>
      <x:c r="F44" s="30" t="n">
        <x:f>B44*Inputs!$G$6</x:f>
        <x:v>12000</x:v>
      </x:c>
      <x:c r="G44" t="str">
        <x:v>120 Days</x:v>
      </x:c>
      <x:c r="H44" s="28" t="n">
        <x:v>120</x:v>
      </x:c>
      <x:c r="I44" s="52" t="n">
        <x:f>Inputs!$G$7</x:f>
        <x:v>0.02</x:v>
      </x:c>
      <x:c r="J44" s="52" t="n">
        <x:f>I44/30</x:f>
        <x:v>0.0006666666666666666</x:v>
      </x:c>
      <x:c r="K44" s="52" t="n">
        <x:f>J44*H44</x:f>
        <x:v>0.08</x:v>
      </x:c>
      <x:c r="L44" s="30" t="n">
        <x:f>(B44+E44)*K44</x:f>
        <x:v>33341.3698630137</x:v>
      </x:c>
      <x:c r="M44" s="30" t="n">
        <x:f>E44</x:f>
        <x:v>16767.12328767123</x:v>
      </x:c>
      <x:c r="N44" s="30">
        <x:f>R44-C44-F44</x:f>
      </x:c>
      <x:c r="O44" s="20" t="str">
        <x:f>IF(ABS(D44-(Inputs!$G$4+Inputs!$B$4))&lt;0.000001,"Low Risk",IF(ABS(D44-(Inputs!$G$4+Inputs!$B$5))&lt;0.000001,"Moderate Risk",IF(ABS(D44-(Inputs!$G$4+Inputs!$B$6))&lt;0.000001,"High Risk","Worst Scenario")))</x:f>
        <x:v>Moderate Risk</x:v>
      </x:c>
      <x:c r="P44" s="28" t="n">
        <x:f>IF(A44="Purchase Order Funding",Inputs!$G$13,IF(B44=500000,180,IF(B44=750000,365,1095)))</x:f>
        <x:v>90</x:v>
      </x:c>
      <x:c r="Q44" s="20" t="n">
        <x:f>D44</x:f>
        <x:v>0.16999999999999998</x:v>
      </x:c>
      <x:c r="R44" s="30" t="n">
        <x:f>B44+C44+E44+F44+L44</x:f>
        <x:v>463108.4931506849</x:v>
      </x:c>
      <x:c r="S44" s="30" t="n">
        <x:f>(B44+E44)*J44</x:f>
        <x:v>277.8447488584475</x:v>
      </x:c>
      <x:c r="T44" s="30" t="n">
        <x:f>C44+E44+F44+L44</x:f>
        <x:v>63108.49315068493</x:v>
      </x:c>
      <x:c r="U44" s="30" t="n">
        <x:f>E44</x:f>
        <x:v>16767.12328767123</x:v>
      </x:c>
      <x:c r="V44" s="30" t="n">
        <x:f>C44</x:f>
        <x:v>1000</x:v>
      </x:c>
      <x:c r="W44" s="30" t="n">
        <x:f>F44</x:f>
        <x:v>12000</x:v>
      </x:c>
      <x:c r="X44" s="30" t="n">
        <x:f>L44</x:f>
        <x:v>33341.3698630137</x:v>
      </x:c>
      <x:c r="Y44" s="30" t="n">
        <x:f>SUM(U44:X44)</x:f>
        <x:v>63108.49315068493</x:v>
      </x:c>
    </x:row>
    <x:row r="45">
      <x:c r="A45" t="str">
        <x:v>Purchase Order Funding</x:v>
      </x:c>
      <x:c r="B45" s="30" t="n">
        <x:v>400000</x:v>
      </x:c>
      <x:c r="C45" s="30" t="n">
        <x:f>Inputs!$G$5</x:f>
        <x:v>1000</x:v>
      </x:c>
      <x:c r="D45" s="20" t="n">
        <x:f>Inputs!$G$4+VLOOKUP(M45,Inputs!$A$4:$B$7,2,FALSE)</x:f>
        <x:v>0.19</x:v>
      </x:c>
      <x:c r="E45" s="30" t="n">
        <x:f>B45*D45*N45/Inputs!$G$8</x:f>
        <x:v>18739.72602739726</x:v>
      </x:c>
      <x:c r="F45" s="30" t="n">
        <x:f>B45*Inputs!$G$6</x:f>
        <x:v>12000</x:v>
      </x:c>
      <x:c r="G45" t="str">
        <x:v>30 Days</x:v>
      </x:c>
      <x:c r="H45" s="28" t="n">
        <x:v>30</x:v>
      </x:c>
      <x:c r="I45" s="52" t="n">
        <x:f>Inputs!$G$7</x:f>
        <x:v>0.02</x:v>
      </x:c>
      <x:c r="J45" s="52" t="n">
        <x:f>I45/30</x:f>
        <x:v>0.0006666666666666666</x:v>
      </x:c>
      <x:c r="K45" s="52" t="n">
        <x:f>J45*H45</x:f>
        <x:v>0.02</x:v>
      </x:c>
      <x:c r="L45" s="30" t="n">
        <x:f>(B45+E45)*K45</x:f>
        <x:v>8374.794520547945</x:v>
      </x:c>
      <x:c r="M45" s="30" t="n">
        <x:f>E45</x:f>
        <x:v>18739.72602739726</x:v>
      </x:c>
      <x:c r="N45" s="30">
        <x:f>R45-C45-F45</x:f>
      </x:c>
      <x:c r="O45" s="20" t="str">
        <x:f>IF(ABS(D45-(Inputs!$G$4+Inputs!$B$4))&lt;0.000001,"Low Risk",IF(ABS(D45-(Inputs!$G$4+Inputs!$B$5))&lt;0.000001,"Moderate Risk",IF(ABS(D45-(Inputs!$G$4+Inputs!$B$6))&lt;0.000001,"High Risk","Worst Scenario")))</x:f>
        <x:v>High Risk</x:v>
      </x:c>
      <x:c r="P45" s="28" t="n">
        <x:f>IF(A45="Purchase Order Funding",Inputs!$G$13,IF(B45=500000,180,IF(B45=750000,365,1095)))</x:f>
        <x:v>90</x:v>
      </x:c>
      <x:c r="Q45" s="20" t="n">
        <x:f>D45</x:f>
        <x:v>0.19</x:v>
      </x:c>
      <x:c r="R45" s="30" t="n">
        <x:f>B45+C45+E45+F45+L45</x:f>
        <x:v>440114.5205479452</x:v>
      </x:c>
      <x:c r="S45" s="30" t="n">
        <x:f>(B45+E45)*J45</x:f>
        <x:v>279.1598173515982</x:v>
      </x:c>
      <x:c r="T45" s="30" t="n">
        <x:f>C45+E45+F45+L45</x:f>
        <x:v>40114.520547945205</x:v>
      </x:c>
      <x:c r="U45" s="30" t="n">
        <x:f>E45</x:f>
        <x:v>18739.72602739726</x:v>
      </x:c>
      <x:c r="V45" s="30" t="n">
        <x:f>C45</x:f>
        <x:v>1000</x:v>
      </x:c>
      <x:c r="W45" s="30" t="n">
        <x:f>F45</x:f>
        <x:v>12000</x:v>
      </x:c>
      <x:c r="X45" s="30" t="n">
        <x:f>L45</x:f>
        <x:v>8374.794520547945</x:v>
      </x:c>
      <x:c r="Y45" s="30" t="n">
        <x:f>SUM(U45:X45)</x:f>
        <x:v>40114.520547945205</x:v>
      </x:c>
    </x:row>
    <x:row r="46">
      <x:c r="A46" t="str">
        <x:v>Purchase Order Funding</x:v>
      </x:c>
      <x:c r="B46" s="30" t="n">
        <x:v>400000</x:v>
      </x:c>
      <x:c r="C46" s="30" t="n">
        <x:f>Inputs!$G$5</x:f>
        <x:v>1000</x:v>
      </x:c>
      <x:c r="D46" s="20" t="n">
        <x:f>Inputs!$G$4+VLOOKUP(M46,Inputs!$A$4:$B$7,2,FALSE)</x:f>
        <x:v>0.19</x:v>
      </x:c>
      <x:c r="E46" s="30" t="n">
        <x:f>B46*D46*N46/Inputs!$G$8</x:f>
        <x:v>18739.72602739726</x:v>
      </x:c>
      <x:c r="F46" s="30" t="n">
        <x:f>B46*Inputs!$G$6</x:f>
        <x:v>12000</x:v>
      </x:c>
      <x:c r="G46" t="str">
        <x:v>60 Days</x:v>
      </x:c>
      <x:c r="H46" s="28" t="n">
        <x:v>60</x:v>
      </x:c>
      <x:c r="I46" s="52" t="n">
        <x:f>Inputs!$G$7</x:f>
        <x:v>0.02</x:v>
      </x:c>
      <x:c r="J46" s="52" t="n">
        <x:f>I46/30</x:f>
        <x:v>0.0006666666666666666</x:v>
      </x:c>
      <x:c r="K46" s="52" t="n">
        <x:f>J46*H46</x:f>
        <x:v>0.04</x:v>
      </x:c>
      <x:c r="L46" s="30" t="n">
        <x:f>(B46+E46)*K46</x:f>
        <x:v>16749.58904109589</x:v>
      </x:c>
      <x:c r="M46" s="30" t="n">
        <x:f>E46</x:f>
        <x:v>18739.72602739726</x:v>
      </x:c>
      <x:c r="N46" s="30">
        <x:f>R46-C46-F46</x:f>
      </x:c>
      <x:c r="O46" s="20" t="str">
        <x:f>IF(ABS(D46-(Inputs!$G$4+Inputs!$B$4))&lt;0.000001,"Low Risk",IF(ABS(D46-(Inputs!$G$4+Inputs!$B$5))&lt;0.000001,"Moderate Risk",IF(ABS(D46-(Inputs!$G$4+Inputs!$B$6))&lt;0.000001,"High Risk","Worst Scenario")))</x:f>
        <x:v>High Risk</x:v>
      </x:c>
      <x:c r="P46" s="28" t="n">
        <x:f>IF(A46="Purchase Order Funding",Inputs!$G$13,IF(B46=500000,180,IF(B46=750000,365,1095)))</x:f>
        <x:v>90</x:v>
      </x:c>
      <x:c r="Q46" s="20" t="n">
        <x:f>D46</x:f>
        <x:v>0.19</x:v>
      </x:c>
      <x:c r="R46" s="30" t="n">
        <x:f>B46+C46+E46+F46+L46</x:f>
        <x:v>448489.31506849313</x:v>
      </x:c>
      <x:c r="S46" s="30" t="n">
        <x:f>(B46+E46)*J46</x:f>
        <x:v>279.1598173515982</x:v>
      </x:c>
      <x:c r="T46" s="30" t="n">
        <x:f>C46+E46+F46+L46</x:f>
        <x:v>48489.315068493146</x:v>
      </x:c>
      <x:c r="U46" s="30" t="n">
        <x:f>E46</x:f>
        <x:v>18739.72602739726</x:v>
      </x:c>
      <x:c r="V46" s="30" t="n">
        <x:f>C46</x:f>
        <x:v>1000</x:v>
      </x:c>
      <x:c r="W46" s="30" t="n">
        <x:f>F46</x:f>
        <x:v>12000</x:v>
      </x:c>
      <x:c r="X46" s="30" t="n">
        <x:f>L46</x:f>
        <x:v>16749.58904109589</x:v>
      </x:c>
      <x:c r="Y46" s="30" t="n">
        <x:f>SUM(U46:X46)</x:f>
        <x:v>48489.315068493146</x:v>
      </x:c>
    </x:row>
    <x:row r="47">
      <x:c r="A47" t="str">
        <x:v>Purchase Order Funding</x:v>
      </x:c>
      <x:c r="B47" s="30" t="n">
        <x:v>400000</x:v>
      </x:c>
      <x:c r="C47" s="30" t="n">
        <x:f>Inputs!$G$5</x:f>
        <x:v>1000</x:v>
      </x:c>
      <x:c r="D47" s="20" t="n">
        <x:f>Inputs!$G$4+VLOOKUP(M47,Inputs!$A$4:$B$7,2,FALSE)</x:f>
        <x:v>0.19</x:v>
      </x:c>
      <x:c r="E47" s="30" t="n">
        <x:f>B47*D47*N47/Inputs!$G$8</x:f>
        <x:v>18739.72602739726</x:v>
      </x:c>
      <x:c r="F47" s="30" t="n">
        <x:f>B47*Inputs!$G$6</x:f>
        <x:v>12000</x:v>
      </x:c>
      <x:c r="G47" t="str">
        <x:v>90 Days</x:v>
      </x:c>
      <x:c r="H47" s="28" t="n">
        <x:v>90</x:v>
      </x:c>
      <x:c r="I47" s="52" t="n">
        <x:f>Inputs!$G$7</x:f>
        <x:v>0.02</x:v>
      </x:c>
      <x:c r="J47" s="52" t="n">
        <x:f>I47/30</x:f>
        <x:v>0.0006666666666666666</x:v>
      </x:c>
      <x:c r="K47" s="52" t="n">
        <x:f>J47*H47</x:f>
        <x:v>0.06</x:v>
      </x:c>
      <x:c r="L47" s="30" t="n">
        <x:f>(B47+E47)*K47</x:f>
        <x:v>25124.383561643834</x:v>
      </x:c>
      <x:c r="M47" s="30" t="n">
        <x:f>E47</x:f>
        <x:v>18739.72602739726</x:v>
      </x:c>
      <x:c r="N47" s="30">
        <x:f>R47-C47-F47</x:f>
      </x:c>
      <x:c r="O47" s="20" t="str">
        <x:f>IF(ABS(D47-(Inputs!$G$4+Inputs!$B$4))&lt;0.000001,"Low Risk",IF(ABS(D47-(Inputs!$G$4+Inputs!$B$5))&lt;0.000001,"Moderate Risk",IF(ABS(D47-(Inputs!$G$4+Inputs!$B$6))&lt;0.000001,"High Risk","Worst Scenario")))</x:f>
        <x:v>High Risk</x:v>
      </x:c>
      <x:c r="P47" s="28" t="n">
        <x:f>IF(A47="Purchase Order Funding",Inputs!$G$13,IF(B47=500000,180,IF(B47=750000,365,1095)))</x:f>
        <x:v>90</x:v>
      </x:c>
      <x:c r="Q47" s="20" t="n">
        <x:f>D47</x:f>
        <x:v>0.19</x:v>
      </x:c>
      <x:c r="R47" s="30" t="n">
        <x:f>B47+C47+E47+F47+L47</x:f>
        <x:v>456864.1095890411</x:v>
      </x:c>
      <x:c r="S47" s="30" t="n">
        <x:f>(B47+E47)*J47</x:f>
        <x:v>279.1598173515982</x:v>
      </x:c>
      <x:c r="T47" s="30" t="n">
        <x:f>C47+E47+F47+L47</x:f>
        <x:v>56864.109589041094</x:v>
      </x:c>
      <x:c r="U47" s="30" t="n">
        <x:f>E47</x:f>
        <x:v>18739.72602739726</x:v>
      </x:c>
      <x:c r="V47" s="30" t="n">
        <x:f>C47</x:f>
        <x:v>1000</x:v>
      </x:c>
      <x:c r="W47" s="30" t="n">
        <x:f>F47</x:f>
        <x:v>12000</x:v>
      </x:c>
      <x:c r="X47" s="30" t="n">
        <x:f>L47</x:f>
        <x:v>25124.383561643834</x:v>
      </x:c>
      <x:c r="Y47" s="30" t="n">
        <x:f>SUM(U47:X47)</x:f>
        <x:v>56864.109589041094</x:v>
      </x:c>
    </x:row>
    <x:row r="48">
      <x:c r="A48" t="str">
        <x:v>Purchase Order Funding</x:v>
      </x:c>
      <x:c r="B48" s="30" t="n">
        <x:v>400000</x:v>
      </x:c>
      <x:c r="C48" s="30" t="n">
        <x:f>Inputs!$G$5</x:f>
        <x:v>1000</x:v>
      </x:c>
      <x:c r="D48" s="20" t="n">
        <x:f>Inputs!$G$4+VLOOKUP(M48,Inputs!$A$4:$B$7,2,FALSE)</x:f>
        <x:v>0.19</x:v>
      </x:c>
      <x:c r="E48" s="30" t="n">
        <x:f>B48*D48*N48/Inputs!$G$8</x:f>
        <x:v>18739.72602739726</x:v>
      </x:c>
      <x:c r="F48" s="30" t="n">
        <x:f>B48*Inputs!$G$6</x:f>
        <x:v>12000</x:v>
      </x:c>
      <x:c r="G48" t="str">
        <x:v>120 Days</x:v>
      </x:c>
      <x:c r="H48" s="28" t="n">
        <x:v>120</x:v>
      </x:c>
      <x:c r="I48" s="52" t="n">
        <x:f>Inputs!$G$7</x:f>
        <x:v>0.02</x:v>
      </x:c>
      <x:c r="J48" s="52" t="n">
        <x:f>I48/30</x:f>
        <x:v>0.0006666666666666666</x:v>
      </x:c>
      <x:c r="K48" s="52" t="n">
        <x:f>J48*H48</x:f>
        <x:v>0.08</x:v>
      </x:c>
      <x:c r="L48" s="30" t="n">
        <x:f>(B48+E48)*K48</x:f>
        <x:v>33499.17808219178</x:v>
      </x:c>
      <x:c r="M48" s="30" t="n">
        <x:f>E48</x:f>
        <x:v>18739.72602739726</x:v>
      </x:c>
      <x:c r="N48" s="30">
        <x:f>R48-C48-F48</x:f>
      </x:c>
      <x:c r="O48" s="20" t="str">
        <x:f>IF(ABS(D48-(Inputs!$G$4+Inputs!$B$4))&lt;0.000001,"Low Risk",IF(ABS(D48-(Inputs!$G$4+Inputs!$B$5))&lt;0.000001,"Moderate Risk",IF(ABS(D48-(Inputs!$G$4+Inputs!$B$6))&lt;0.000001,"High Risk","Worst Scenario")))</x:f>
        <x:v>High Risk</x:v>
      </x:c>
      <x:c r="P48" s="28" t="n">
        <x:f>IF(A48="Purchase Order Funding",Inputs!$G$13,IF(B48=500000,180,IF(B48=750000,365,1095)))</x:f>
        <x:v>90</x:v>
      </x:c>
      <x:c r="Q48" s="20" t="n">
        <x:f>D48</x:f>
        <x:v>0.19</x:v>
      </x:c>
      <x:c r="R48" s="30" t="n">
        <x:f>B48+C48+E48+F48+L48</x:f>
        <x:v>465238.90410958906</x:v>
      </x:c>
      <x:c r="S48" s="30" t="n">
        <x:f>(B48+E48)*J48</x:f>
        <x:v>279.1598173515982</x:v>
      </x:c>
      <x:c r="T48" s="30" t="n">
        <x:f>C48+E48+F48+L48</x:f>
        <x:v>65238.90410958904</x:v>
      </x:c>
      <x:c r="U48" s="30" t="n">
        <x:f>E48</x:f>
        <x:v>18739.72602739726</x:v>
      </x:c>
      <x:c r="V48" s="30" t="n">
        <x:f>C48</x:f>
        <x:v>1000</x:v>
      </x:c>
      <x:c r="W48" s="30" t="n">
        <x:f>F48</x:f>
        <x:v>12000</x:v>
      </x:c>
      <x:c r="X48" s="30" t="n">
        <x:f>L48</x:f>
        <x:v>33499.17808219178</x:v>
      </x:c>
      <x:c r="Y48" s="30" t="n">
        <x:f>SUM(U48:X48)</x:f>
        <x:v>65238.90410958904</x:v>
      </x:c>
    </x:row>
    <x:row r="49">
      <x:c r="A49" t="str">
        <x:v>Purchase Order Funding</x:v>
      </x:c>
      <x:c r="B49" s="30" t="n">
        <x:v>400000</x:v>
      </x:c>
      <x:c r="C49" s="30" t="n">
        <x:f>Inputs!$G$5</x:f>
        <x:v>1000</x:v>
      </x:c>
      <x:c r="D49" s="20" t="n">
        <x:f>Inputs!$G$4+VLOOKUP(M49,Inputs!$A$4:$B$7,2,FALSE)</x:f>
        <x:v>0.21</x:v>
      </x:c>
      <x:c r="E49" s="30" t="n">
        <x:f>B49*D49*N49/Inputs!$G$8</x:f>
        <x:v>20712.328767123287</x:v>
      </x:c>
      <x:c r="F49" s="30" t="n">
        <x:f>B49*Inputs!$G$6</x:f>
        <x:v>12000</x:v>
      </x:c>
      <x:c r="G49" t="str">
        <x:v>30 Days</x:v>
      </x:c>
      <x:c r="H49" s="28" t="n">
        <x:v>30</x:v>
      </x:c>
      <x:c r="I49" s="52" t="n">
        <x:f>Inputs!$G$7</x:f>
        <x:v>0.02</x:v>
      </x:c>
      <x:c r="J49" s="52" t="n">
        <x:f>I49/30</x:f>
        <x:v>0.0006666666666666666</x:v>
      </x:c>
      <x:c r="K49" s="52" t="n">
        <x:f>J49*H49</x:f>
        <x:v>0.02</x:v>
      </x:c>
      <x:c r="L49" s="30" t="n">
        <x:f>(B49+E49)*K49</x:f>
        <x:v>8414.246575342466</x:v>
      </x:c>
      <x:c r="M49" s="30" t="n">
        <x:f>E49</x:f>
        <x:v>20712.328767123287</x:v>
      </x:c>
      <x:c r="N49" s="30">
        <x:f>R49-C49-F49</x:f>
      </x:c>
      <x:c r="O49" s="20" t="str">
        <x:f>IF(ABS(D49-(Inputs!$G$4+Inputs!$B$4))&lt;0.000001,"Low Risk",IF(ABS(D49-(Inputs!$G$4+Inputs!$B$5))&lt;0.000001,"Moderate Risk",IF(ABS(D49-(Inputs!$G$4+Inputs!$B$6))&lt;0.000001,"High Risk","Worst Scenario")))</x:f>
        <x:v>Worst Scenario</x:v>
      </x:c>
      <x:c r="P49" s="28" t="n">
        <x:f>IF(A49="Purchase Order Funding",Inputs!$G$13,IF(B49=500000,180,IF(B49=750000,365,1095)))</x:f>
        <x:v>90</x:v>
      </x:c>
      <x:c r="Q49" s="20" t="n">
        <x:f>D49</x:f>
        <x:v>0.21</x:v>
      </x:c>
      <x:c r="R49" s="30" t="n">
        <x:f>B49+C49+E49+F49+L49</x:f>
        <x:v>442126.5753424658</x:v>
      </x:c>
      <x:c r="S49" s="30" t="n">
        <x:f>(B49+E49)*J49</x:f>
        <x:v>280.4748858447488</x:v>
      </x:c>
      <x:c r="T49" s="30" t="n">
        <x:f>C49+E49+F49+L49</x:f>
        <x:v>42126.575342465745</x:v>
      </x:c>
      <x:c r="U49" s="30" t="n">
        <x:f>E49</x:f>
        <x:v>20712.328767123287</x:v>
      </x:c>
      <x:c r="V49" s="30" t="n">
        <x:f>C49</x:f>
        <x:v>1000</x:v>
      </x:c>
      <x:c r="W49" s="30" t="n">
        <x:f>F49</x:f>
        <x:v>12000</x:v>
      </x:c>
      <x:c r="X49" s="30" t="n">
        <x:f>L49</x:f>
        <x:v>8414.246575342466</x:v>
      </x:c>
      <x:c r="Y49" s="30" t="n">
        <x:f>SUM(U49:X49)</x:f>
        <x:v>42126.575342465745</x:v>
      </x:c>
    </x:row>
    <x:row r="50">
      <x:c r="A50" t="str">
        <x:v>Purchase Order Funding</x:v>
      </x:c>
      <x:c r="B50" s="30" t="n">
        <x:v>400000</x:v>
      </x:c>
      <x:c r="C50" s="30" t="n">
        <x:f>Inputs!$G$5</x:f>
        <x:v>1000</x:v>
      </x:c>
      <x:c r="D50" s="20" t="n">
        <x:f>Inputs!$G$4+VLOOKUP(M50,Inputs!$A$4:$B$7,2,FALSE)</x:f>
        <x:v>0.21</x:v>
      </x:c>
      <x:c r="E50" s="30" t="n">
        <x:f>B50*D50*N50/Inputs!$G$8</x:f>
        <x:v>20712.328767123287</x:v>
      </x:c>
      <x:c r="F50" s="30" t="n">
        <x:f>B50*Inputs!$G$6</x:f>
        <x:v>12000</x:v>
      </x:c>
      <x:c r="G50" t="str">
        <x:v>60 Days</x:v>
      </x:c>
      <x:c r="H50" s="28" t="n">
        <x:v>60</x:v>
      </x:c>
      <x:c r="I50" s="52" t="n">
        <x:f>Inputs!$G$7</x:f>
        <x:v>0.02</x:v>
      </x:c>
      <x:c r="J50" s="52" t="n">
        <x:f>I50/30</x:f>
        <x:v>0.0006666666666666666</x:v>
      </x:c>
      <x:c r="K50" s="52" t="n">
        <x:f>J50*H50</x:f>
        <x:v>0.04</x:v>
      </x:c>
      <x:c r="L50" s="30" t="n">
        <x:f>(B50+E50)*K50</x:f>
        <x:v>16828.49315068493</x:v>
      </x:c>
      <x:c r="M50" s="30" t="n">
        <x:f>E50</x:f>
        <x:v>20712.328767123287</x:v>
      </x:c>
      <x:c r="N50" s="30">
        <x:f>R50-C50-F50</x:f>
      </x:c>
      <x:c r="O50" s="20" t="str">
        <x:f>IF(ABS(D50-(Inputs!$G$4+Inputs!$B$4))&lt;0.000001,"Low Risk",IF(ABS(D50-(Inputs!$G$4+Inputs!$B$5))&lt;0.000001,"Moderate Risk",IF(ABS(D50-(Inputs!$G$4+Inputs!$B$6))&lt;0.000001,"High Risk","Worst Scenario")))</x:f>
        <x:v>Worst Scenario</x:v>
      </x:c>
      <x:c r="P50" s="28" t="n">
        <x:f>IF(A50="Purchase Order Funding",Inputs!$G$13,IF(B50=500000,180,IF(B50=750000,365,1095)))</x:f>
        <x:v>90</x:v>
      </x:c>
      <x:c r="Q50" s="20" t="n">
        <x:f>D50</x:f>
        <x:v>0.21</x:v>
      </x:c>
      <x:c r="R50" s="30" t="n">
        <x:f>B50+C50+E50+F50+L50</x:f>
        <x:v>450540.8219178082</x:v>
      </x:c>
      <x:c r="S50" s="30" t="n">
        <x:f>(B50+E50)*J50</x:f>
        <x:v>280.4748858447488</x:v>
      </x:c>
      <x:c r="T50" s="30" t="n">
        <x:f>C50+E50+F50+L50</x:f>
        <x:v>50540.821917808214</x:v>
      </x:c>
      <x:c r="U50" s="30" t="n">
        <x:f>E50</x:f>
        <x:v>20712.328767123287</x:v>
      </x:c>
      <x:c r="V50" s="30" t="n">
        <x:f>C50</x:f>
        <x:v>1000</x:v>
      </x:c>
      <x:c r="W50" s="30" t="n">
        <x:f>F50</x:f>
        <x:v>12000</x:v>
      </x:c>
      <x:c r="X50" s="30" t="n">
        <x:f>L50</x:f>
        <x:v>16828.49315068493</x:v>
      </x:c>
      <x:c r="Y50" s="30" t="n">
        <x:f>SUM(U50:X50)</x:f>
        <x:v>50540.821917808214</x:v>
      </x:c>
    </x:row>
    <x:row r="51">
      <x:c r="A51" t="str">
        <x:v>Purchase Order Funding</x:v>
      </x:c>
      <x:c r="B51" s="30" t="n">
        <x:v>400000</x:v>
      </x:c>
      <x:c r="C51" s="30" t="n">
        <x:f>Inputs!$G$5</x:f>
        <x:v>1000</x:v>
      </x:c>
      <x:c r="D51" s="20" t="n">
        <x:f>Inputs!$G$4+VLOOKUP(M51,Inputs!$A$4:$B$7,2,FALSE)</x:f>
        <x:v>0.21</x:v>
      </x:c>
      <x:c r="E51" s="30" t="n">
        <x:f>B51*D51*N51/Inputs!$G$8</x:f>
        <x:v>20712.328767123287</x:v>
      </x:c>
      <x:c r="F51" s="30" t="n">
        <x:f>B51*Inputs!$G$6</x:f>
        <x:v>12000</x:v>
      </x:c>
      <x:c r="G51" t="str">
        <x:v>90 Days</x:v>
      </x:c>
      <x:c r="H51" s="28" t="n">
        <x:v>90</x:v>
      </x:c>
      <x:c r="I51" s="52" t="n">
        <x:f>Inputs!$G$7</x:f>
        <x:v>0.02</x:v>
      </x:c>
      <x:c r="J51" s="52" t="n">
        <x:f>I51/30</x:f>
        <x:v>0.0006666666666666666</x:v>
      </x:c>
      <x:c r="K51" s="52" t="n">
        <x:f>J51*H51</x:f>
        <x:v>0.06</x:v>
      </x:c>
      <x:c r="L51" s="30" t="n">
        <x:f>(B51+E51)*K51</x:f>
        <x:v>25242.739726027397</x:v>
      </x:c>
      <x:c r="M51" s="30" t="n">
        <x:f>E51</x:f>
        <x:v>20712.328767123287</x:v>
      </x:c>
      <x:c r="N51" s="30">
        <x:f>R51-C51-F51</x:f>
      </x:c>
      <x:c r="O51" s="20" t="str">
        <x:f>IF(ABS(D51-(Inputs!$G$4+Inputs!$B$4))&lt;0.000001,"Low Risk",IF(ABS(D51-(Inputs!$G$4+Inputs!$B$5))&lt;0.000001,"Moderate Risk",IF(ABS(D51-(Inputs!$G$4+Inputs!$B$6))&lt;0.000001,"High Risk","Worst Scenario")))</x:f>
        <x:v>Worst Scenario</x:v>
      </x:c>
      <x:c r="P51" s="28" t="n">
        <x:f>IF(A51="Purchase Order Funding",Inputs!$G$13,IF(B51=500000,180,IF(B51=750000,365,1095)))</x:f>
        <x:v>90</x:v>
      </x:c>
      <x:c r="Q51" s="20" t="n">
        <x:f>D51</x:f>
        <x:v>0.21</x:v>
      </x:c>
      <x:c r="R51" s="30" t="n">
        <x:f>B51+C51+E51+F51+L51</x:f>
        <x:v>458955.0684931507</x:v>
      </x:c>
      <x:c r="S51" s="30" t="n">
        <x:f>(B51+E51)*J51</x:f>
        <x:v>280.4748858447488</x:v>
      </x:c>
      <x:c r="T51" s="30" t="n">
        <x:f>C51+E51+F51+L51</x:f>
        <x:v>58955.068493150684</x:v>
      </x:c>
      <x:c r="U51" s="30" t="n">
        <x:f>E51</x:f>
        <x:v>20712.328767123287</x:v>
      </x:c>
      <x:c r="V51" s="30" t="n">
        <x:f>C51</x:f>
        <x:v>1000</x:v>
      </x:c>
      <x:c r="W51" s="30" t="n">
        <x:f>F51</x:f>
        <x:v>12000</x:v>
      </x:c>
      <x:c r="X51" s="30" t="n">
        <x:f>L51</x:f>
        <x:v>25242.739726027397</x:v>
      </x:c>
      <x:c r="Y51" s="30" t="n">
        <x:f>SUM(U51:X51)</x:f>
        <x:v>58955.068493150684</x:v>
      </x:c>
    </x:row>
    <x:row r="52">
      <x:c r="A52" t="str">
        <x:v>Purchase Order Funding</x:v>
      </x:c>
      <x:c r="B52" s="30" t="n">
        <x:v>400000</x:v>
      </x:c>
      <x:c r="C52" s="30" t="n">
        <x:f>Inputs!$G$5</x:f>
        <x:v>1000</x:v>
      </x:c>
      <x:c r="D52" s="20" t="n">
        <x:f>Inputs!$G$4+VLOOKUP(M52,Inputs!$A$4:$B$7,2,FALSE)</x:f>
        <x:v>0.21</x:v>
      </x:c>
      <x:c r="E52" s="30" t="n">
        <x:f>B52*D52*N52/Inputs!$G$8</x:f>
        <x:v>20712.328767123287</x:v>
      </x:c>
      <x:c r="F52" s="30" t="n">
        <x:f>B52*Inputs!$G$6</x:f>
        <x:v>12000</x:v>
      </x:c>
      <x:c r="G52" t="str">
        <x:v>120 Days</x:v>
      </x:c>
      <x:c r="H52" s="28" t="n">
        <x:v>120</x:v>
      </x:c>
      <x:c r="I52" s="52" t="n">
        <x:f>Inputs!$G$7</x:f>
        <x:v>0.02</x:v>
      </x:c>
      <x:c r="J52" s="52" t="n">
        <x:f>I52/30</x:f>
        <x:v>0.0006666666666666666</x:v>
      </x:c>
      <x:c r="K52" s="52" t="n">
        <x:f>J52*H52</x:f>
        <x:v>0.08</x:v>
      </x:c>
      <x:c r="L52" s="30" t="n">
        <x:f>(B52+E52)*K52</x:f>
        <x:v>33656.98630136986</x:v>
      </x:c>
      <x:c r="M52" s="30" t="n">
        <x:f>E52</x:f>
        <x:v>20712.328767123287</x:v>
      </x:c>
      <x:c r="N52" s="30">
        <x:f>R52-C52-F52</x:f>
      </x:c>
      <x:c r="O52" s="20" t="str">
        <x:f>IF(ABS(D52-(Inputs!$G$4+Inputs!$B$4))&lt;0.000001,"Low Risk",IF(ABS(D52-(Inputs!$G$4+Inputs!$B$5))&lt;0.000001,"Moderate Risk",IF(ABS(D52-(Inputs!$G$4+Inputs!$B$6))&lt;0.000001,"High Risk","Worst Scenario")))</x:f>
        <x:v>Worst Scenario</x:v>
      </x:c>
      <x:c r="P52" s="28" t="n">
        <x:f>IF(A52="Purchase Order Funding",Inputs!$G$13,IF(B52=500000,180,IF(B52=750000,365,1095)))</x:f>
        <x:v>90</x:v>
      </x:c>
      <x:c r="Q52" s="20" t="n">
        <x:f>D52</x:f>
        <x:v>0.21</x:v>
      </x:c>
      <x:c r="R52" s="30" t="n">
        <x:f>B52+C52+E52+F52+L52</x:f>
        <x:v>467369.31506849313</x:v>
      </x:c>
      <x:c r="S52" s="30" t="n">
        <x:f>(B52+E52)*J52</x:f>
        <x:v>280.4748858447488</x:v>
      </x:c>
      <x:c r="T52" s="30" t="n">
        <x:f>C52+E52+F52+L52</x:f>
        <x:v>67369.31506849315</x:v>
      </x:c>
      <x:c r="U52" s="30" t="n">
        <x:f>E52</x:f>
        <x:v>20712.328767123287</x:v>
      </x:c>
      <x:c r="V52" s="30" t="n">
        <x:f>C52</x:f>
        <x:v>1000</x:v>
      </x:c>
      <x:c r="W52" s="30" t="n">
        <x:f>F52</x:f>
        <x:v>12000</x:v>
      </x:c>
      <x:c r="X52" s="30" t="n">
        <x:f>L52</x:f>
        <x:v>33656.98630136986</x:v>
      </x:c>
      <x:c r="Y52" s="30" t="n">
        <x:f>SUM(U52:X52)</x:f>
        <x:v>67369.31506849315</x:v>
      </x:c>
    </x:row>
    <x:row r="53">
      <x:c r="A53" t="str">
        <x:v>Purchase Order Funding</x:v>
      </x:c>
      <x:c r="B53" s="30" t="n">
        <x:v>500000</x:v>
      </x:c>
      <x:c r="C53" s="30" t="n">
        <x:f>Inputs!$G$5</x:f>
        <x:v>1000</x:v>
      </x:c>
      <x:c r="D53" s="20" t="n">
        <x:f>Inputs!$G$4+VLOOKUP(M53,Inputs!$A$4:$B$7,2,FALSE)</x:f>
        <x:v>0.155</x:v>
      </x:c>
      <x:c r="E53" s="30" t="n">
        <x:f>B53*D53*N53/Inputs!$G$8</x:f>
        <x:v>19109.58904109589</x:v>
      </x:c>
      <x:c r="F53" s="30" t="n">
        <x:f>B53*Inputs!$G$6</x:f>
        <x:v>15000</x:v>
      </x:c>
      <x:c r="G53" t="str">
        <x:v>30 Days</x:v>
      </x:c>
      <x:c r="H53" s="28" t="n">
        <x:v>30</x:v>
      </x:c>
      <x:c r="I53" s="52" t="n">
        <x:f>Inputs!$G$7</x:f>
        <x:v>0.02</x:v>
      </x:c>
      <x:c r="J53" s="52" t="n">
        <x:f>I53/30</x:f>
        <x:v>0.0006666666666666666</x:v>
      </x:c>
      <x:c r="K53" s="52" t="n">
        <x:f>J53*H53</x:f>
        <x:v>0.02</x:v>
      </x:c>
      <x:c r="L53" s="30" t="n">
        <x:f>(B53+E53)*K53</x:f>
        <x:v>10382.191780821917</x:v>
      </x:c>
      <x:c r="M53" s="30" t="n">
        <x:f>E53</x:f>
        <x:v>19109.58904109589</x:v>
      </x:c>
      <x:c r="N53" s="30">
        <x:f>R53-C53-F53</x:f>
      </x:c>
      <x:c r="O53" s="20" t="str">
        <x:f>IF(ABS(D53-(Inputs!$G$4+Inputs!$B$4))&lt;0.000001,"Low Risk",IF(ABS(D53-(Inputs!$G$4+Inputs!$B$5))&lt;0.000001,"Moderate Risk",IF(ABS(D53-(Inputs!$G$4+Inputs!$B$6))&lt;0.000001,"High Risk","Worst Scenario")))</x:f>
        <x:v>Low Risk</x:v>
      </x:c>
      <x:c r="P53" s="28" t="n">
        <x:f>IF(A53="Purchase Order Funding",Inputs!$G$13,IF(B53=500000,180,IF(B53=750000,365,1095)))</x:f>
        <x:v>90</x:v>
      </x:c>
      <x:c r="Q53" s="20" t="n">
        <x:f>D53</x:f>
        <x:v>0.155</x:v>
      </x:c>
      <x:c r="R53" s="30" t="n">
        <x:f>B53+C53+E53+F53+L53</x:f>
        <x:v>545491.7808219178</x:v>
      </x:c>
      <x:c r="S53" s="30" t="n">
        <x:f>(B53+E53)*J53</x:f>
        <x:v>346.07305936073055</x:v>
      </x:c>
      <x:c r="T53" s="30" t="n">
        <x:f>C53+E53+F53+L53</x:f>
        <x:v>45491.780821917804</x:v>
      </x:c>
      <x:c r="U53" s="30" t="n">
        <x:f>E53</x:f>
        <x:v>19109.58904109589</x:v>
      </x:c>
      <x:c r="V53" s="30" t="n">
        <x:f>C53</x:f>
        <x:v>1000</x:v>
      </x:c>
      <x:c r="W53" s="30" t="n">
        <x:f>F53</x:f>
        <x:v>15000</x:v>
      </x:c>
      <x:c r="X53" s="30" t="n">
        <x:f>L53</x:f>
        <x:v>10382.191780821917</x:v>
      </x:c>
      <x:c r="Y53" s="30" t="n">
        <x:f>SUM(U53:X53)</x:f>
        <x:v>45491.780821917804</x:v>
      </x:c>
    </x:row>
    <x:row r="54">
      <x:c r="A54" t="str">
        <x:v>Purchase Order Funding</x:v>
      </x:c>
      <x:c r="B54" s="30" t="n">
        <x:v>500000</x:v>
      </x:c>
      <x:c r="C54" s="30" t="n">
        <x:f>Inputs!$G$5</x:f>
        <x:v>1000</x:v>
      </x:c>
      <x:c r="D54" s="20" t="n">
        <x:f>Inputs!$G$4+VLOOKUP(M54,Inputs!$A$4:$B$7,2,FALSE)</x:f>
        <x:v>0.155</x:v>
      </x:c>
      <x:c r="E54" s="30" t="n">
        <x:f>B54*D54*N54/Inputs!$G$8</x:f>
        <x:v>19109.58904109589</x:v>
      </x:c>
      <x:c r="F54" s="30" t="n">
        <x:f>B54*Inputs!$G$6</x:f>
        <x:v>15000</x:v>
      </x:c>
      <x:c r="G54" t="str">
        <x:v>60 Days</x:v>
      </x:c>
      <x:c r="H54" s="28" t="n">
        <x:v>60</x:v>
      </x:c>
      <x:c r="I54" s="52" t="n">
        <x:f>Inputs!$G$7</x:f>
        <x:v>0.02</x:v>
      </x:c>
      <x:c r="J54" s="52" t="n">
        <x:f>I54/30</x:f>
        <x:v>0.0006666666666666666</x:v>
      </x:c>
      <x:c r="K54" s="52" t="n">
        <x:f>J54*H54</x:f>
        <x:v>0.04</x:v>
      </x:c>
      <x:c r="L54" s="30" t="n">
        <x:f>(B54+E54)*K54</x:f>
        <x:v>20764.383561643834</x:v>
      </x:c>
      <x:c r="M54" s="30" t="n">
        <x:f>E54</x:f>
        <x:v>19109.58904109589</x:v>
      </x:c>
      <x:c r="N54" s="30">
        <x:f>R54-C54-F54</x:f>
      </x:c>
      <x:c r="O54" s="20" t="str">
        <x:f>IF(ABS(D54-(Inputs!$G$4+Inputs!$B$4))&lt;0.000001,"Low Risk",IF(ABS(D54-(Inputs!$G$4+Inputs!$B$5))&lt;0.000001,"Moderate Risk",IF(ABS(D54-(Inputs!$G$4+Inputs!$B$6))&lt;0.000001,"High Risk","Worst Scenario")))</x:f>
        <x:v>Low Risk</x:v>
      </x:c>
      <x:c r="P54" s="28" t="n">
        <x:f>IF(A54="Purchase Order Funding",Inputs!$G$13,IF(B54=500000,180,IF(B54=750000,365,1095)))</x:f>
        <x:v>90</x:v>
      </x:c>
      <x:c r="Q54" s="20" t="n">
        <x:f>D54</x:f>
        <x:v>0.155</x:v>
      </x:c>
      <x:c r="R54" s="30" t="n">
        <x:f>B54+C54+E54+F54+L54</x:f>
        <x:v>555873.9726027398</x:v>
      </x:c>
      <x:c r="S54" s="30" t="n">
        <x:f>(B54+E54)*J54</x:f>
        <x:v>346.07305936073055</x:v>
      </x:c>
      <x:c r="T54" s="30" t="n">
        <x:f>C54+E54+F54+L54</x:f>
        <x:v>55873.97260273973</x:v>
      </x:c>
      <x:c r="U54" s="30" t="n">
        <x:f>E54</x:f>
        <x:v>19109.58904109589</x:v>
      </x:c>
      <x:c r="V54" s="30" t="n">
        <x:f>C54</x:f>
        <x:v>1000</x:v>
      </x:c>
      <x:c r="W54" s="30" t="n">
        <x:f>F54</x:f>
        <x:v>15000</x:v>
      </x:c>
      <x:c r="X54" s="30" t="n">
        <x:f>L54</x:f>
        <x:v>20764.383561643834</x:v>
      </x:c>
      <x:c r="Y54" s="30" t="n">
        <x:f>SUM(U54:X54)</x:f>
        <x:v>55873.97260273973</x:v>
      </x:c>
    </x:row>
    <x:row r="55">
      <x:c r="A55" t="str">
        <x:v>Purchase Order Funding</x:v>
      </x:c>
      <x:c r="B55" s="30" t="n">
        <x:v>500000</x:v>
      </x:c>
      <x:c r="C55" s="30" t="n">
        <x:f>Inputs!$G$5</x:f>
        <x:v>1000</x:v>
      </x:c>
      <x:c r="D55" s="20" t="n">
        <x:f>Inputs!$G$4+VLOOKUP(M55,Inputs!$A$4:$B$7,2,FALSE)</x:f>
        <x:v>0.155</x:v>
      </x:c>
      <x:c r="E55" s="30" t="n">
        <x:f>B55*D55*N55/Inputs!$G$8</x:f>
        <x:v>19109.58904109589</x:v>
      </x:c>
      <x:c r="F55" s="30" t="n">
        <x:f>B55*Inputs!$G$6</x:f>
        <x:v>15000</x:v>
      </x:c>
      <x:c r="G55" t="str">
        <x:v>90 Days</x:v>
      </x:c>
      <x:c r="H55" s="28" t="n">
        <x:v>90</x:v>
      </x:c>
      <x:c r="I55" s="52" t="n">
        <x:f>Inputs!$G$7</x:f>
        <x:v>0.02</x:v>
      </x:c>
      <x:c r="J55" s="52" t="n">
        <x:f>I55/30</x:f>
        <x:v>0.0006666666666666666</x:v>
      </x:c>
      <x:c r="K55" s="52" t="n">
        <x:f>J55*H55</x:f>
        <x:v>0.06</x:v>
      </x:c>
      <x:c r="L55" s="30" t="n">
        <x:f>(B55+E55)*K55</x:f>
        <x:v>31146.575342465752</x:v>
      </x:c>
      <x:c r="M55" s="30" t="n">
        <x:f>E55</x:f>
        <x:v>19109.58904109589</x:v>
      </x:c>
      <x:c r="N55" s="30">
        <x:f>R55-C55-F55</x:f>
      </x:c>
      <x:c r="O55" s="20" t="str">
        <x:f>IF(ABS(D55-(Inputs!$G$4+Inputs!$B$4))&lt;0.000001,"Low Risk",IF(ABS(D55-(Inputs!$G$4+Inputs!$B$5))&lt;0.000001,"Moderate Risk",IF(ABS(D55-(Inputs!$G$4+Inputs!$B$6))&lt;0.000001,"High Risk","Worst Scenario")))</x:f>
        <x:v>Low Risk</x:v>
      </x:c>
      <x:c r="P55" s="28" t="n">
        <x:f>IF(A55="Purchase Order Funding",Inputs!$G$13,IF(B55=500000,180,IF(B55=750000,365,1095)))</x:f>
        <x:v>90</x:v>
      </x:c>
      <x:c r="Q55" s="20" t="n">
        <x:f>D55</x:f>
        <x:v>0.155</x:v>
      </x:c>
      <x:c r="R55" s="30" t="n">
        <x:f>B55+C55+E55+F55+L55</x:f>
        <x:v>566256.1643835617</x:v>
      </x:c>
      <x:c r="S55" s="30" t="n">
        <x:f>(B55+E55)*J55</x:f>
        <x:v>346.07305936073055</x:v>
      </x:c>
      <x:c r="T55" s="30" t="n">
        <x:f>C55+E55+F55+L55</x:f>
        <x:v>66256.16438356164</x:v>
      </x:c>
      <x:c r="U55" s="30" t="n">
        <x:f>E55</x:f>
        <x:v>19109.58904109589</x:v>
      </x:c>
      <x:c r="V55" s="30" t="n">
        <x:f>C55</x:f>
        <x:v>1000</x:v>
      </x:c>
      <x:c r="W55" s="30" t="n">
        <x:f>F55</x:f>
        <x:v>15000</x:v>
      </x:c>
      <x:c r="X55" s="30" t="n">
        <x:f>L55</x:f>
        <x:v>31146.575342465752</x:v>
      </x:c>
      <x:c r="Y55" s="30" t="n">
        <x:f>SUM(U55:X55)</x:f>
        <x:v>66256.16438356164</x:v>
      </x:c>
    </x:row>
    <x:row r="56">
      <x:c r="A56" t="str">
        <x:v>Purchase Order Funding</x:v>
      </x:c>
      <x:c r="B56" s="30" t="n">
        <x:v>500000</x:v>
      </x:c>
      <x:c r="C56" s="30" t="n">
        <x:f>Inputs!$G$5</x:f>
        <x:v>1000</x:v>
      </x:c>
      <x:c r="D56" s="20" t="n">
        <x:f>Inputs!$G$4+VLOOKUP(M56,Inputs!$A$4:$B$7,2,FALSE)</x:f>
        <x:v>0.155</x:v>
      </x:c>
      <x:c r="E56" s="30" t="n">
        <x:f>B56*D56*N56/Inputs!$G$8</x:f>
        <x:v>19109.58904109589</x:v>
      </x:c>
      <x:c r="F56" s="30" t="n">
        <x:f>B56*Inputs!$G$6</x:f>
        <x:v>15000</x:v>
      </x:c>
      <x:c r="G56" t="str">
        <x:v>120 Days</x:v>
      </x:c>
      <x:c r="H56" s="28" t="n">
        <x:v>120</x:v>
      </x:c>
      <x:c r="I56" s="52" t="n">
        <x:f>Inputs!$G$7</x:f>
        <x:v>0.02</x:v>
      </x:c>
      <x:c r="J56" s="52" t="n">
        <x:f>I56/30</x:f>
        <x:v>0.0006666666666666666</x:v>
      </x:c>
      <x:c r="K56" s="52" t="n">
        <x:f>J56*H56</x:f>
        <x:v>0.08</x:v>
      </x:c>
      <x:c r="L56" s="30" t="n">
        <x:f>(B56+E56)*K56</x:f>
        <x:v>41528.76712328767</x:v>
      </x:c>
      <x:c r="M56" s="30" t="n">
        <x:f>E56</x:f>
        <x:v>19109.58904109589</x:v>
      </x:c>
      <x:c r="N56" s="30">
        <x:f>R56-C56-F56</x:f>
      </x:c>
      <x:c r="O56" s="20" t="str">
        <x:f>IF(ABS(D56-(Inputs!$G$4+Inputs!$B$4))&lt;0.000001,"Low Risk",IF(ABS(D56-(Inputs!$G$4+Inputs!$B$5))&lt;0.000001,"Moderate Risk",IF(ABS(D56-(Inputs!$G$4+Inputs!$B$6))&lt;0.000001,"High Risk","Worst Scenario")))</x:f>
        <x:v>Low Risk</x:v>
      </x:c>
      <x:c r="P56" s="28" t="n">
        <x:f>IF(A56="Purchase Order Funding",Inputs!$G$13,IF(B56=500000,180,IF(B56=750000,365,1095)))</x:f>
        <x:v>90</x:v>
      </x:c>
      <x:c r="Q56" s="20" t="n">
        <x:f>D56</x:f>
        <x:v>0.155</x:v>
      </x:c>
      <x:c r="R56" s="30" t="n">
        <x:f>B56+C56+E56+F56+L56</x:f>
        <x:v>576638.3561643836</x:v>
      </x:c>
      <x:c r="S56" s="30" t="n">
        <x:f>(B56+E56)*J56</x:f>
        <x:v>346.07305936073055</x:v>
      </x:c>
      <x:c r="T56" s="30" t="n">
        <x:f>C56+E56+F56+L56</x:f>
        <x:v>76638.35616438356</x:v>
      </x:c>
      <x:c r="U56" s="30" t="n">
        <x:f>E56</x:f>
        <x:v>19109.58904109589</x:v>
      </x:c>
      <x:c r="V56" s="30" t="n">
        <x:f>C56</x:f>
        <x:v>1000</x:v>
      </x:c>
      <x:c r="W56" s="30" t="n">
        <x:f>F56</x:f>
        <x:v>15000</x:v>
      </x:c>
      <x:c r="X56" s="30" t="n">
        <x:f>L56</x:f>
        <x:v>41528.76712328767</x:v>
      </x:c>
      <x:c r="Y56" s="30" t="n">
        <x:f>SUM(U56:X56)</x:f>
        <x:v>76638.35616438356</x:v>
      </x:c>
    </x:row>
    <x:row r="57">
      <x:c r="A57" t="str">
        <x:v>Purchase Order Funding</x:v>
      </x:c>
      <x:c r="B57" s="30" t="n">
        <x:v>500000</x:v>
      </x:c>
      <x:c r="C57" s="30" t="n">
        <x:f>Inputs!$G$5</x:f>
        <x:v>1000</x:v>
      </x:c>
      <x:c r="D57" s="20" t="n">
        <x:f>Inputs!$G$4+VLOOKUP(M57,Inputs!$A$4:$B$7,2,FALSE)</x:f>
        <x:v>0.16999999999999998</x:v>
      </x:c>
      <x:c r="E57" s="30" t="n">
        <x:f>B57*D57*N57/Inputs!$G$8</x:f>
        <x:v>20958.90410958904</x:v>
      </x:c>
      <x:c r="F57" s="30" t="n">
        <x:f>B57*Inputs!$G$6</x:f>
        <x:v>15000</x:v>
      </x:c>
      <x:c r="G57" t="str">
        <x:v>30 Days</x:v>
      </x:c>
      <x:c r="H57" s="28" t="n">
        <x:v>30</x:v>
      </x:c>
      <x:c r="I57" s="52" t="n">
        <x:f>Inputs!$G$7</x:f>
        <x:v>0.02</x:v>
      </x:c>
      <x:c r="J57" s="52" t="n">
        <x:f>I57/30</x:f>
        <x:v>0.0006666666666666666</x:v>
      </x:c>
      <x:c r="K57" s="52" t="n">
        <x:f>J57*H57</x:f>
        <x:v>0.02</x:v>
      </x:c>
      <x:c r="L57" s="30" t="n">
        <x:f>(B57+E57)*K57</x:f>
        <x:v>10419.178082191782</x:v>
      </x:c>
      <x:c r="M57" s="30" t="n">
        <x:f>E57</x:f>
        <x:v>20958.90410958904</x:v>
      </x:c>
      <x:c r="N57" s="30">
        <x:f>R57-C57-F57</x:f>
      </x:c>
      <x:c r="O57" s="20" t="str">
        <x:f>IF(ABS(D57-(Inputs!$G$4+Inputs!$B$4))&lt;0.000001,"Low Risk",IF(ABS(D57-(Inputs!$G$4+Inputs!$B$5))&lt;0.000001,"Moderate Risk",IF(ABS(D57-(Inputs!$G$4+Inputs!$B$6))&lt;0.000001,"High Risk","Worst Scenario")))</x:f>
        <x:v>Moderate Risk</x:v>
      </x:c>
      <x:c r="P57" s="28" t="n">
        <x:f>IF(A57="Purchase Order Funding",Inputs!$G$13,IF(B57=500000,180,IF(B57=750000,365,1095)))</x:f>
        <x:v>90</x:v>
      </x:c>
      <x:c r="Q57" s="20" t="n">
        <x:f>D57</x:f>
        <x:v>0.16999999999999998</x:v>
      </x:c>
      <x:c r="R57" s="30" t="n">
        <x:f>B57+C57+E57+F57+L57</x:f>
        <x:v>547378.0821917808</x:v>
      </x:c>
      <x:c r="S57" s="30" t="n">
        <x:f>(B57+E57)*J57</x:f>
        <x:v>347.30593607305934</x:v>
      </x:c>
      <x:c r="T57" s="30" t="n">
        <x:f>C57+E57+F57+L57</x:f>
        <x:v>47378.08219178082</x:v>
      </x:c>
      <x:c r="U57" s="30" t="n">
        <x:f>E57</x:f>
        <x:v>20958.90410958904</x:v>
      </x:c>
      <x:c r="V57" s="30" t="n">
        <x:f>C57</x:f>
        <x:v>1000</x:v>
      </x:c>
      <x:c r="W57" s="30" t="n">
        <x:f>F57</x:f>
        <x:v>15000</x:v>
      </x:c>
      <x:c r="X57" s="30" t="n">
        <x:f>L57</x:f>
        <x:v>10419.178082191782</x:v>
      </x:c>
      <x:c r="Y57" s="30" t="n">
        <x:f>SUM(U57:X57)</x:f>
        <x:v>47378.08219178082</x:v>
      </x:c>
    </x:row>
    <x:row r="58">
      <x:c r="A58" t="str">
        <x:v>Purchase Order Funding</x:v>
      </x:c>
      <x:c r="B58" s="30" t="n">
        <x:v>500000</x:v>
      </x:c>
      <x:c r="C58" s="30" t="n">
        <x:f>Inputs!$G$5</x:f>
        <x:v>1000</x:v>
      </x:c>
      <x:c r="D58" s="20" t="n">
        <x:f>Inputs!$G$4+VLOOKUP(M58,Inputs!$A$4:$B$7,2,FALSE)</x:f>
        <x:v>0.16999999999999998</x:v>
      </x:c>
      <x:c r="E58" s="30" t="n">
        <x:f>B58*D58*N58/Inputs!$G$8</x:f>
        <x:v>20958.90410958904</x:v>
      </x:c>
      <x:c r="F58" s="30" t="n">
        <x:f>B58*Inputs!$G$6</x:f>
        <x:v>15000</x:v>
      </x:c>
      <x:c r="G58" t="str">
        <x:v>60 Days</x:v>
      </x:c>
      <x:c r="H58" s="28" t="n">
        <x:v>60</x:v>
      </x:c>
      <x:c r="I58" s="52" t="n">
        <x:f>Inputs!$G$7</x:f>
        <x:v>0.02</x:v>
      </x:c>
      <x:c r="J58" s="52" t="n">
        <x:f>I58/30</x:f>
        <x:v>0.0006666666666666666</x:v>
      </x:c>
      <x:c r="K58" s="52" t="n">
        <x:f>J58*H58</x:f>
        <x:v>0.04</x:v>
      </x:c>
      <x:c r="L58" s="30" t="n">
        <x:f>(B58+E58)*K58</x:f>
        <x:v>20838.356164383564</x:v>
      </x:c>
      <x:c r="M58" s="30" t="n">
        <x:f>E58</x:f>
        <x:v>20958.90410958904</x:v>
      </x:c>
      <x:c r="N58" s="30">
        <x:f>R58-C58-F58</x:f>
      </x:c>
      <x:c r="O58" s="20" t="str">
        <x:f>IF(ABS(D58-(Inputs!$G$4+Inputs!$B$4))&lt;0.000001,"Low Risk",IF(ABS(D58-(Inputs!$G$4+Inputs!$B$5))&lt;0.000001,"Moderate Risk",IF(ABS(D58-(Inputs!$G$4+Inputs!$B$6))&lt;0.000001,"High Risk","Worst Scenario")))</x:f>
        <x:v>Moderate Risk</x:v>
      </x:c>
      <x:c r="P58" s="28" t="n">
        <x:f>IF(A58="Purchase Order Funding",Inputs!$G$13,IF(B58=500000,180,IF(B58=750000,365,1095)))</x:f>
        <x:v>90</x:v>
      </x:c>
      <x:c r="Q58" s="20" t="n">
        <x:f>D58</x:f>
        <x:v>0.16999999999999998</x:v>
      </x:c>
      <x:c r="R58" s="30" t="n">
        <x:f>B58+C58+E58+F58+L58</x:f>
        <x:v>557797.2602739726</x:v>
      </x:c>
      <x:c r="S58" s="30" t="n">
        <x:f>(B58+E58)*J58</x:f>
        <x:v>347.30593607305934</x:v>
      </x:c>
      <x:c r="T58" s="30" t="n">
        <x:f>C58+E58+F58+L58</x:f>
        <x:v>57797.260273972606</x:v>
      </x:c>
      <x:c r="U58" s="30" t="n">
        <x:f>E58</x:f>
        <x:v>20958.90410958904</x:v>
      </x:c>
      <x:c r="V58" s="30" t="n">
        <x:f>C58</x:f>
        <x:v>1000</x:v>
      </x:c>
      <x:c r="W58" s="30" t="n">
        <x:f>F58</x:f>
        <x:v>15000</x:v>
      </x:c>
      <x:c r="X58" s="30" t="n">
        <x:f>L58</x:f>
        <x:v>20838.356164383564</x:v>
      </x:c>
      <x:c r="Y58" s="30" t="n">
        <x:f>SUM(U58:X58)</x:f>
        <x:v>57797.260273972606</x:v>
      </x:c>
    </x:row>
    <x:row r="59">
      <x:c r="A59" t="str">
        <x:v>Purchase Order Funding</x:v>
      </x:c>
      <x:c r="B59" s="30" t="n">
        <x:v>500000</x:v>
      </x:c>
      <x:c r="C59" s="30" t="n">
        <x:f>Inputs!$G$5</x:f>
        <x:v>1000</x:v>
      </x:c>
      <x:c r="D59" s="20" t="n">
        <x:f>Inputs!$G$4+VLOOKUP(M59,Inputs!$A$4:$B$7,2,FALSE)</x:f>
        <x:v>0.16999999999999998</x:v>
      </x:c>
      <x:c r="E59" s="30" t="n">
        <x:f>B59*D59*N59/Inputs!$G$8</x:f>
        <x:v>20958.90410958904</x:v>
      </x:c>
      <x:c r="F59" s="30" t="n">
        <x:f>B59*Inputs!$G$6</x:f>
        <x:v>15000</x:v>
      </x:c>
      <x:c r="G59" t="str">
        <x:v>90 Days</x:v>
      </x:c>
      <x:c r="H59" s="28" t="n">
        <x:v>90</x:v>
      </x:c>
      <x:c r="I59" s="52" t="n">
        <x:f>Inputs!$G$7</x:f>
        <x:v>0.02</x:v>
      </x:c>
      <x:c r="J59" s="52" t="n">
        <x:f>I59/30</x:f>
        <x:v>0.0006666666666666666</x:v>
      </x:c>
      <x:c r="K59" s="52" t="n">
        <x:f>J59*H59</x:f>
        <x:v>0.06</x:v>
      </x:c>
      <x:c r="L59" s="30" t="n">
        <x:f>(B59+E59)*K59</x:f>
        <x:v>31257.534246575342</x:v>
      </x:c>
      <x:c r="M59" s="30" t="n">
        <x:f>E59</x:f>
        <x:v>20958.90410958904</x:v>
      </x:c>
      <x:c r="N59" s="30">
        <x:f>R59-C59-F59</x:f>
      </x:c>
      <x:c r="O59" s="20" t="str">
        <x:f>IF(ABS(D59-(Inputs!$G$4+Inputs!$B$4))&lt;0.000001,"Low Risk",IF(ABS(D59-(Inputs!$G$4+Inputs!$B$5))&lt;0.000001,"Moderate Risk",IF(ABS(D59-(Inputs!$G$4+Inputs!$B$6))&lt;0.000001,"High Risk","Worst Scenario")))</x:f>
        <x:v>Moderate Risk</x:v>
      </x:c>
      <x:c r="P59" s="28" t="n">
        <x:f>IF(A59="Purchase Order Funding",Inputs!$G$13,IF(B59=500000,180,IF(B59=750000,365,1095)))</x:f>
        <x:v>90</x:v>
      </x:c>
      <x:c r="Q59" s="20" t="n">
        <x:f>D59</x:f>
        <x:v>0.16999999999999998</x:v>
      </x:c>
      <x:c r="R59" s="30" t="n">
        <x:f>B59+C59+E59+F59+L59</x:f>
        <x:v>568216.4383561644</x:v>
      </x:c>
      <x:c r="S59" s="30" t="n">
        <x:f>(B59+E59)*J59</x:f>
        <x:v>347.30593607305934</x:v>
      </x:c>
      <x:c r="T59" s="30" t="n">
        <x:f>C59+E59+F59+L59</x:f>
        <x:v>68216.43835616438</x:v>
      </x:c>
      <x:c r="U59" s="30" t="n">
        <x:f>E59</x:f>
        <x:v>20958.90410958904</x:v>
      </x:c>
      <x:c r="V59" s="30" t="n">
        <x:f>C59</x:f>
        <x:v>1000</x:v>
      </x:c>
      <x:c r="W59" s="30" t="n">
        <x:f>F59</x:f>
        <x:v>15000</x:v>
      </x:c>
      <x:c r="X59" s="30" t="n">
        <x:f>L59</x:f>
        <x:v>31257.534246575342</x:v>
      </x:c>
      <x:c r="Y59" s="30" t="n">
        <x:f>SUM(U59:X59)</x:f>
        <x:v>68216.43835616438</x:v>
      </x:c>
    </x:row>
    <x:row r="60">
      <x:c r="A60" t="str">
        <x:v>Purchase Order Funding</x:v>
      </x:c>
      <x:c r="B60" s="30" t="n">
        <x:v>500000</x:v>
      </x:c>
      <x:c r="C60" s="30" t="n">
        <x:f>Inputs!$G$5</x:f>
        <x:v>1000</x:v>
      </x:c>
      <x:c r="D60" s="20" t="n">
        <x:f>Inputs!$G$4+VLOOKUP(M60,Inputs!$A$4:$B$7,2,FALSE)</x:f>
        <x:v>0.16999999999999998</x:v>
      </x:c>
      <x:c r="E60" s="30" t="n">
        <x:f>B60*D60*N60/Inputs!$G$8</x:f>
        <x:v>20958.90410958904</x:v>
      </x:c>
      <x:c r="F60" s="30" t="n">
        <x:f>B60*Inputs!$G$6</x:f>
        <x:v>15000</x:v>
      </x:c>
      <x:c r="G60" t="str">
        <x:v>120 Days</x:v>
      </x:c>
      <x:c r="H60" s="28" t="n">
        <x:v>120</x:v>
      </x:c>
      <x:c r="I60" s="52" t="n">
        <x:f>Inputs!$G$7</x:f>
        <x:v>0.02</x:v>
      </x:c>
      <x:c r="J60" s="52" t="n">
        <x:f>I60/30</x:f>
        <x:v>0.0006666666666666666</x:v>
      </x:c>
      <x:c r="K60" s="52" t="n">
        <x:f>J60*H60</x:f>
        <x:v>0.08</x:v>
      </x:c>
      <x:c r="L60" s="30" t="n">
        <x:f>(B60+E60)*K60</x:f>
        <x:v>41676.71232876713</x:v>
      </x:c>
      <x:c r="M60" s="30" t="n">
        <x:f>E60</x:f>
        <x:v>20958.90410958904</x:v>
      </x:c>
      <x:c r="N60" s="30">
        <x:f>R60-C60-F60</x:f>
      </x:c>
      <x:c r="O60" s="20" t="str">
        <x:f>IF(ABS(D60-(Inputs!$G$4+Inputs!$B$4))&lt;0.000001,"Low Risk",IF(ABS(D60-(Inputs!$G$4+Inputs!$B$5))&lt;0.000001,"Moderate Risk",IF(ABS(D60-(Inputs!$G$4+Inputs!$B$6))&lt;0.000001,"High Risk","Worst Scenario")))</x:f>
        <x:v>Moderate Risk</x:v>
      </x:c>
      <x:c r="P60" s="28" t="n">
        <x:f>IF(A60="Purchase Order Funding",Inputs!$G$13,IF(B60=500000,180,IF(B60=750000,365,1095)))</x:f>
        <x:v>90</x:v>
      </x:c>
      <x:c r="Q60" s="20" t="n">
        <x:f>D60</x:f>
        <x:v>0.16999999999999998</x:v>
      </x:c>
      <x:c r="R60" s="30" t="n">
        <x:f>B60+C60+E60+F60+L60</x:f>
        <x:v>578635.6164383562</x:v>
      </x:c>
      <x:c r="S60" s="30" t="n">
        <x:f>(B60+E60)*J60</x:f>
        <x:v>347.30593607305934</x:v>
      </x:c>
      <x:c r="T60" s="30" t="n">
        <x:f>C60+E60+F60+L60</x:f>
        <x:v>78635.61643835617</x:v>
      </x:c>
      <x:c r="U60" s="30" t="n">
        <x:f>E60</x:f>
        <x:v>20958.90410958904</x:v>
      </x:c>
      <x:c r="V60" s="30" t="n">
        <x:f>C60</x:f>
        <x:v>1000</x:v>
      </x:c>
      <x:c r="W60" s="30" t="n">
        <x:f>F60</x:f>
        <x:v>15000</x:v>
      </x:c>
      <x:c r="X60" s="30" t="n">
        <x:f>L60</x:f>
        <x:v>41676.71232876713</x:v>
      </x:c>
      <x:c r="Y60" s="30" t="n">
        <x:f>SUM(U60:X60)</x:f>
        <x:v>78635.61643835617</x:v>
      </x:c>
    </x:row>
    <x:row r="61">
      <x:c r="A61" t="str">
        <x:v>Purchase Order Funding</x:v>
      </x:c>
      <x:c r="B61" s="30" t="n">
        <x:v>500000</x:v>
      </x:c>
      <x:c r="C61" s="30" t="n">
        <x:f>Inputs!$G$5</x:f>
        <x:v>1000</x:v>
      </x:c>
      <x:c r="D61" s="20" t="n">
        <x:f>Inputs!$G$4+VLOOKUP(M61,Inputs!$A$4:$B$7,2,FALSE)</x:f>
        <x:v>0.19</x:v>
      </x:c>
      <x:c r="E61" s="30" t="n">
        <x:f>B61*D61*N61/Inputs!$G$8</x:f>
        <x:v>23424.657534246577</x:v>
      </x:c>
      <x:c r="F61" s="30" t="n">
        <x:f>B61*Inputs!$G$6</x:f>
        <x:v>15000</x:v>
      </x:c>
      <x:c r="G61" t="str">
        <x:v>30 Days</x:v>
      </x:c>
      <x:c r="H61" s="28" t="n">
        <x:v>30</x:v>
      </x:c>
      <x:c r="I61" s="52" t="n">
        <x:f>Inputs!$G$7</x:f>
        <x:v>0.02</x:v>
      </x:c>
      <x:c r="J61" s="52" t="n">
        <x:f>I61/30</x:f>
        <x:v>0.0006666666666666666</x:v>
      </x:c>
      <x:c r="K61" s="52" t="n">
        <x:f>J61*H61</x:f>
        <x:v>0.02</x:v>
      </x:c>
      <x:c r="L61" s="30" t="n">
        <x:f>(B61+E61)*K61</x:f>
        <x:v>10468.493150684932</x:v>
      </x:c>
      <x:c r="M61" s="30" t="n">
        <x:f>E61</x:f>
        <x:v>23424.657534246577</x:v>
      </x:c>
      <x:c r="N61" s="30">
        <x:f>R61-C61-F61</x:f>
      </x:c>
      <x:c r="O61" s="20" t="str">
        <x:f>IF(ABS(D61-(Inputs!$G$4+Inputs!$B$4))&lt;0.000001,"Low Risk",IF(ABS(D61-(Inputs!$G$4+Inputs!$B$5))&lt;0.000001,"Moderate Risk",IF(ABS(D61-(Inputs!$G$4+Inputs!$B$6))&lt;0.000001,"High Risk","Worst Scenario")))</x:f>
        <x:v>High Risk</x:v>
      </x:c>
      <x:c r="P61" s="28" t="n">
        <x:f>IF(A61="Purchase Order Funding",Inputs!$G$13,IF(B61=500000,180,IF(B61=750000,365,1095)))</x:f>
        <x:v>90</x:v>
      </x:c>
      <x:c r="Q61" s="20" t="n">
        <x:f>D61</x:f>
        <x:v>0.19</x:v>
      </x:c>
      <x:c r="R61" s="30" t="n">
        <x:f>B61+C61+E61+F61+L61</x:f>
        <x:v>549893.1506849315</x:v>
      </x:c>
      <x:c r="S61" s="30" t="n">
        <x:f>(B61+E61)*J61</x:f>
        <x:v>348.9497716894977</x:v>
      </x:c>
      <x:c r="T61" s="30" t="n">
        <x:f>C61+E61+F61+L61</x:f>
        <x:v>49893.15068493151</x:v>
      </x:c>
      <x:c r="U61" s="30" t="n">
        <x:f>E61</x:f>
        <x:v>23424.657534246577</x:v>
      </x:c>
      <x:c r="V61" s="30" t="n">
        <x:f>C61</x:f>
        <x:v>1000</x:v>
      </x:c>
      <x:c r="W61" s="30" t="n">
        <x:f>F61</x:f>
        <x:v>15000</x:v>
      </x:c>
      <x:c r="X61" s="30" t="n">
        <x:f>L61</x:f>
        <x:v>10468.493150684932</x:v>
      </x:c>
      <x:c r="Y61" s="30" t="n">
        <x:f>SUM(U61:X61)</x:f>
        <x:v>49893.15068493151</x:v>
      </x:c>
    </x:row>
    <x:row r="62">
      <x:c r="A62" t="str">
        <x:v>Purchase Order Funding</x:v>
      </x:c>
      <x:c r="B62" s="30" t="n">
        <x:v>500000</x:v>
      </x:c>
      <x:c r="C62" s="30" t="n">
        <x:f>Inputs!$G$5</x:f>
        <x:v>1000</x:v>
      </x:c>
      <x:c r="D62" s="20" t="n">
        <x:f>Inputs!$G$4+VLOOKUP(M62,Inputs!$A$4:$B$7,2,FALSE)</x:f>
        <x:v>0.19</x:v>
      </x:c>
      <x:c r="E62" s="30" t="n">
        <x:f>B62*D62*N62/Inputs!$G$8</x:f>
        <x:v>23424.657534246577</x:v>
      </x:c>
      <x:c r="F62" s="30" t="n">
        <x:f>B62*Inputs!$G$6</x:f>
        <x:v>15000</x:v>
      </x:c>
      <x:c r="G62" t="str">
        <x:v>60 Days</x:v>
      </x:c>
      <x:c r="H62" s="28" t="n">
        <x:v>60</x:v>
      </x:c>
      <x:c r="I62" s="52" t="n">
        <x:f>Inputs!$G$7</x:f>
        <x:v>0.02</x:v>
      </x:c>
      <x:c r="J62" s="52" t="n">
        <x:f>I62/30</x:f>
        <x:v>0.0006666666666666666</x:v>
      </x:c>
      <x:c r="K62" s="52" t="n">
        <x:f>J62*H62</x:f>
        <x:v>0.04</x:v>
      </x:c>
      <x:c r="L62" s="30" t="n">
        <x:f>(B62+E62)*K62</x:f>
        <x:v>20936.986301369863</x:v>
      </x:c>
      <x:c r="M62" s="30" t="n">
        <x:f>E62</x:f>
        <x:v>23424.657534246577</x:v>
      </x:c>
      <x:c r="N62" s="30">
        <x:f>R62-C62-F62</x:f>
      </x:c>
      <x:c r="O62" s="20" t="str">
        <x:f>IF(ABS(D62-(Inputs!$G$4+Inputs!$B$4))&lt;0.000001,"Low Risk",IF(ABS(D62-(Inputs!$G$4+Inputs!$B$5))&lt;0.000001,"Moderate Risk",IF(ABS(D62-(Inputs!$G$4+Inputs!$B$6))&lt;0.000001,"High Risk","Worst Scenario")))</x:f>
        <x:v>High Risk</x:v>
      </x:c>
      <x:c r="P62" s="28" t="n">
        <x:f>IF(A62="Purchase Order Funding",Inputs!$G$13,IF(B62=500000,180,IF(B62=750000,365,1095)))</x:f>
        <x:v>90</x:v>
      </x:c>
      <x:c r="Q62" s="20" t="n">
        <x:f>D62</x:f>
        <x:v>0.19</x:v>
      </x:c>
      <x:c r="R62" s="30" t="n">
        <x:f>B62+C62+E62+F62+L62</x:f>
        <x:v>560361.6438356164</x:v>
      </x:c>
      <x:c r="S62" s="30" t="n">
        <x:f>(B62+E62)*J62</x:f>
        <x:v>348.9497716894977</x:v>
      </x:c>
      <x:c r="T62" s="30" t="n">
        <x:f>C62+E62+F62+L62</x:f>
        <x:v>60361.64383561644</x:v>
      </x:c>
      <x:c r="U62" s="30" t="n">
        <x:f>E62</x:f>
        <x:v>23424.657534246577</x:v>
      </x:c>
      <x:c r="V62" s="30" t="n">
        <x:f>C62</x:f>
        <x:v>1000</x:v>
      </x:c>
      <x:c r="W62" s="30" t="n">
        <x:f>F62</x:f>
        <x:v>15000</x:v>
      </x:c>
      <x:c r="X62" s="30" t="n">
        <x:f>L62</x:f>
        <x:v>20936.986301369863</x:v>
      </x:c>
      <x:c r="Y62" s="30" t="n">
        <x:f>SUM(U62:X62)</x:f>
        <x:v>60361.64383561644</x:v>
      </x:c>
    </x:row>
    <x:row r="63">
      <x:c r="A63" t="str">
        <x:v>Purchase Order Funding</x:v>
      </x:c>
      <x:c r="B63" s="30" t="n">
        <x:v>500000</x:v>
      </x:c>
      <x:c r="C63" s="30" t="n">
        <x:f>Inputs!$G$5</x:f>
        <x:v>1000</x:v>
      </x:c>
      <x:c r="D63" s="20" t="n">
        <x:f>Inputs!$G$4+VLOOKUP(M63,Inputs!$A$4:$B$7,2,FALSE)</x:f>
        <x:v>0.19</x:v>
      </x:c>
      <x:c r="E63" s="30" t="n">
        <x:f>B63*D63*N63/Inputs!$G$8</x:f>
        <x:v>23424.657534246577</x:v>
      </x:c>
      <x:c r="F63" s="30" t="n">
        <x:f>B63*Inputs!$G$6</x:f>
        <x:v>15000</x:v>
      </x:c>
      <x:c r="G63" t="str">
        <x:v>90 Days</x:v>
      </x:c>
      <x:c r="H63" s="28" t="n">
        <x:v>90</x:v>
      </x:c>
      <x:c r="I63" s="52" t="n">
        <x:f>Inputs!$G$7</x:f>
        <x:v>0.02</x:v>
      </x:c>
      <x:c r="J63" s="52" t="n">
        <x:f>I63/30</x:f>
        <x:v>0.0006666666666666666</x:v>
      </x:c>
      <x:c r="K63" s="52" t="n">
        <x:f>J63*H63</x:f>
        <x:v>0.06</x:v>
      </x:c>
      <x:c r="L63" s="30" t="n">
        <x:f>(B63+E63)*K63</x:f>
        <x:v>31405.47945205479</x:v>
      </x:c>
      <x:c r="M63" s="30" t="n">
        <x:f>E63</x:f>
        <x:v>23424.657534246577</x:v>
      </x:c>
      <x:c r="N63" s="30">
        <x:f>R63-C63-F63</x:f>
      </x:c>
      <x:c r="O63" s="20" t="str">
        <x:f>IF(ABS(D63-(Inputs!$G$4+Inputs!$B$4))&lt;0.000001,"Low Risk",IF(ABS(D63-(Inputs!$G$4+Inputs!$B$5))&lt;0.000001,"Moderate Risk",IF(ABS(D63-(Inputs!$G$4+Inputs!$B$6))&lt;0.000001,"High Risk","Worst Scenario")))</x:f>
        <x:v>High Risk</x:v>
      </x:c>
      <x:c r="P63" s="28" t="n">
        <x:f>IF(A63="Purchase Order Funding",Inputs!$G$13,IF(B63=500000,180,IF(B63=750000,365,1095)))</x:f>
        <x:v>90</x:v>
      </x:c>
      <x:c r="Q63" s="20" t="n">
        <x:f>D63</x:f>
        <x:v>0.19</x:v>
      </x:c>
      <x:c r="R63" s="30" t="n">
        <x:f>B63+C63+E63+F63+L63</x:f>
        <x:v>570830.1369863014</x:v>
      </x:c>
      <x:c r="S63" s="30" t="n">
        <x:f>(B63+E63)*J63</x:f>
        <x:v>348.9497716894977</x:v>
      </x:c>
      <x:c r="T63" s="30" t="n">
        <x:f>C63+E63+F63+L63</x:f>
        <x:v>70830.13698630137</x:v>
      </x:c>
      <x:c r="U63" s="30" t="n">
        <x:f>E63</x:f>
        <x:v>23424.657534246577</x:v>
      </x:c>
      <x:c r="V63" s="30" t="n">
        <x:f>C63</x:f>
        <x:v>1000</x:v>
      </x:c>
      <x:c r="W63" s="30" t="n">
        <x:f>F63</x:f>
        <x:v>15000</x:v>
      </x:c>
      <x:c r="X63" s="30" t="n">
        <x:f>L63</x:f>
        <x:v>31405.47945205479</x:v>
      </x:c>
      <x:c r="Y63" s="30" t="n">
        <x:f>SUM(U63:X63)</x:f>
        <x:v>70830.13698630137</x:v>
      </x:c>
    </x:row>
    <x:row r="64">
      <x:c r="A64" t="str">
        <x:v>Purchase Order Funding</x:v>
      </x:c>
      <x:c r="B64" s="30" t="n">
        <x:v>500000</x:v>
      </x:c>
      <x:c r="C64" s="30" t="n">
        <x:f>Inputs!$G$5</x:f>
        <x:v>1000</x:v>
      </x:c>
      <x:c r="D64" s="20" t="n">
        <x:f>Inputs!$G$4+VLOOKUP(M64,Inputs!$A$4:$B$7,2,FALSE)</x:f>
        <x:v>0.19</x:v>
      </x:c>
      <x:c r="E64" s="30" t="n">
        <x:f>B64*D64*N64/Inputs!$G$8</x:f>
        <x:v>23424.657534246577</x:v>
      </x:c>
      <x:c r="F64" s="30" t="n">
        <x:f>B64*Inputs!$G$6</x:f>
        <x:v>15000</x:v>
      </x:c>
      <x:c r="G64" t="str">
        <x:v>120 Days</x:v>
      </x:c>
      <x:c r="H64" s="28" t="n">
        <x:v>120</x:v>
      </x:c>
      <x:c r="I64" s="52" t="n">
        <x:f>Inputs!$G$7</x:f>
        <x:v>0.02</x:v>
      </x:c>
      <x:c r="J64" s="52" t="n">
        <x:f>I64/30</x:f>
        <x:v>0.0006666666666666666</x:v>
      </x:c>
      <x:c r="K64" s="52" t="n">
        <x:f>J64*H64</x:f>
        <x:v>0.08</x:v>
      </x:c>
      <x:c r="L64" s="30" t="n">
        <x:f>(B64+E64)*K64</x:f>
        <x:v>41873.97260273973</x:v>
      </x:c>
      <x:c r="M64" s="30" t="n">
        <x:f>E64</x:f>
        <x:v>23424.657534246577</x:v>
      </x:c>
      <x:c r="N64" s="30">
        <x:f>R64-C64-F64</x:f>
      </x:c>
      <x:c r="O64" s="20" t="str">
        <x:f>IF(ABS(D64-(Inputs!$G$4+Inputs!$B$4))&lt;0.000001,"Low Risk",IF(ABS(D64-(Inputs!$G$4+Inputs!$B$5))&lt;0.000001,"Moderate Risk",IF(ABS(D64-(Inputs!$G$4+Inputs!$B$6))&lt;0.000001,"High Risk","Worst Scenario")))</x:f>
        <x:v>High Risk</x:v>
      </x:c>
      <x:c r="P64" s="28" t="n">
        <x:f>IF(A64="Purchase Order Funding",Inputs!$G$13,IF(B64=500000,180,IF(B64=750000,365,1095)))</x:f>
        <x:v>90</x:v>
      </x:c>
      <x:c r="Q64" s="20" t="n">
        <x:f>D64</x:f>
        <x:v>0.19</x:v>
      </x:c>
      <x:c r="R64" s="30" t="n">
        <x:f>B64+C64+E64+F64+L64</x:f>
        <x:v>581298.6301369863</x:v>
      </x:c>
      <x:c r="S64" s="30" t="n">
        <x:f>(B64+E64)*J64</x:f>
        <x:v>348.9497716894977</x:v>
      </x:c>
      <x:c r="T64" s="30" t="n">
        <x:f>C64+E64+F64+L64</x:f>
        <x:v>81298.6301369863</x:v>
      </x:c>
      <x:c r="U64" s="30" t="n">
        <x:f>E64</x:f>
        <x:v>23424.657534246577</x:v>
      </x:c>
      <x:c r="V64" s="30" t="n">
        <x:f>C64</x:f>
        <x:v>1000</x:v>
      </x:c>
      <x:c r="W64" s="30" t="n">
        <x:f>F64</x:f>
        <x:v>15000</x:v>
      </x:c>
      <x:c r="X64" s="30" t="n">
        <x:f>L64</x:f>
        <x:v>41873.97260273973</x:v>
      </x:c>
      <x:c r="Y64" s="30" t="n">
        <x:f>SUM(U64:X64)</x:f>
        <x:v>81298.6301369863</x:v>
      </x:c>
    </x:row>
    <x:row r="65">
      <x:c r="A65" t="str">
        <x:v>Purchase Order Funding</x:v>
      </x:c>
      <x:c r="B65" s="30" t="n">
        <x:v>500000</x:v>
      </x:c>
      <x:c r="C65" s="30" t="n">
        <x:f>Inputs!$G$5</x:f>
        <x:v>1000</x:v>
      </x:c>
      <x:c r="D65" s="20" t="n">
        <x:f>Inputs!$G$4+VLOOKUP(M65,Inputs!$A$4:$B$7,2,FALSE)</x:f>
        <x:v>0.21</x:v>
      </x:c>
      <x:c r="E65" s="30" t="n">
        <x:f>B65*D65*N65/Inputs!$G$8</x:f>
        <x:v>25890.41095890411</x:v>
      </x:c>
      <x:c r="F65" s="30" t="n">
        <x:f>B65*Inputs!$G$6</x:f>
        <x:v>15000</x:v>
      </x:c>
      <x:c r="G65" t="str">
        <x:v>30 Days</x:v>
      </x:c>
      <x:c r="H65" s="28" t="n">
        <x:v>30</x:v>
      </x:c>
      <x:c r="I65" s="52" t="n">
        <x:f>Inputs!$G$7</x:f>
        <x:v>0.02</x:v>
      </x:c>
      <x:c r="J65" s="52" t="n">
        <x:f>I65/30</x:f>
        <x:v>0.0006666666666666666</x:v>
      </x:c>
      <x:c r="K65" s="52" t="n">
        <x:f>J65*H65</x:f>
        <x:v>0.02</x:v>
      </x:c>
      <x:c r="L65" s="30" t="n">
        <x:f>(B65+E65)*K65</x:f>
        <x:v>10517.808219178081</x:v>
      </x:c>
      <x:c r="M65" s="30" t="n">
        <x:f>E65</x:f>
        <x:v>25890.41095890411</x:v>
      </x:c>
      <x:c r="N65" s="30">
        <x:f>R65-C65-F65</x:f>
      </x:c>
      <x:c r="O65" s="20" t="str">
        <x:f>IF(ABS(D65-(Inputs!$G$4+Inputs!$B$4))&lt;0.000001,"Low Risk",IF(ABS(D65-(Inputs!$G$4+Inputs!$B$5))&lt;0.000001,"Moderate Risk",IF(ABS(D65-(Inputs!$G$4+Inputs!$B$6))&lt;0.000001,"High Risk","Worst Scenario")))</x:f>
        <x:v>Worst Scenario</x:v>
      </x:c>
      <x:c r="P65" s="28" t="n">
        <x:f>IF(A65="Purchase Order Funding",Inputs!$G$13,IF(B65=500000,180,IF(B65=750000,365,1095)))</x:f>
        <x:v>90</x:v>
      </x:c>
      <x:c r="Q65" s="20" t="n">
        <x:f>D65</x:f>
        <x:v>0.21</x:v>
      </x:c>
      <x:c r="R65" s="30" t="n">
        <x:f>B65+C65+E65+F65+L65</x:f>
        <x:v>552408.2191780822</x:v>
      </x:c>
      <x:c r="S65" s="30" t="n">
        <x:f>(B65+E65)*J65</x:f>
        <x:v>350.593607305936</x:v>
      </x:c>
      <x:c r="T65" s="30" t="n">
        <x:f>C65+E65+F65+L65</x:f>
        <x:v>52408.21917808219</x:v>
      </x:c>
      <x:c r="U65" s="30" t="n">
        <x:f>E65</x:f>
        <x:v>25890.41095890411</x:v>
      </x:c>
      <x:c r="V65" s="30" t="n">
        <x:f>C65</x:f>
        <x:v>1000</x:v>
      </x:c>
      <x:c r="W65" s="30" t="n">
        <x:f>F65</x:f>
        <x:v>15000</x:v>
      </x:c>
      <x:c r="X65" s="30" t="n">
        <x:f>L65</x:f>
        <x:v>10517.808219178081</x:v>
      </x:c>
      <x:c r="Y65" s="30" t="n">
        <x:f>SUM(U65:X65)</x:f>
        <x:v>52408.21917808219</x:v>
      </x:c>
    </x:row>
    <x:row r="66">
      <x:c r="A66" t="str">
        <x:v>Purchase Order Funding</x:v>
      </x:c>
      <x:c r="B66" s="30" t="n">
        <x:v>500000</x:v>
      </x:c>
      <x:c r="C66" s="30" t="n">
        <x:f>Inputs!$G$5</x:f>
        <x:v>1000</x:v>
      </x:c>
      <x:c r="D66" s="20" t="n">
        <x:f>Inputs!$G$4+VLOOKUP(M66,Inputs!$A$4:$B$7,2,FALSE)</x:f>
        <x:v>0.21</x:v>
      </x:c>
      <x:c r="E66" s="30" t="n">
        <x:f>B66*D66*N66/Inputs!$G$8</x:f>
        <x:v>25890.41095890411</x:v>
      </x:c>
      <x:c r="F66" s="30" t="n">
        <x:f>B66*Inputs!$G$6</x:f>
        <x:v>15000</x:v>
      </x:c>
      <x:c r="G66" t="str">
        <x:v>60 Days</x:v>
      </x:c>
      <x:c r="H66" s="28" t="n">
        <x:v>60</x:v>
      </x:c>
      <x:c r="I66" s="52" t="n">
        <x:f>Inputs!$G$7</x:f>
        <x:v>0.02</x:v>
      </x:c>
      <x:c r="J66" s="52" t="n">
        <x:f>I66/30</x:f>
        <x:v>0.0006666666666666666</x:v>
      </x:c>
      <x:c r="K66" s="52" t="n">
        <x:f>J66*H66</x:f>
        <x:v>0.04</x:v>
      </x:c>
      <x:c r="L66" s="30" t="n">
        <x:f>(B66+E66)*K66</x:f>
        <x:v>21035.616438356163</x:v>
      </x:c>
      <x:c r="M66" s="30" t="n">
        <x:f>E66</x:f>
        <x:v>25890.41095890411</x:v>
      </x:c>
      <x:c r="N66" s="30">
        <x:f>R66-C66-F66</x:f>
      </x:c>
      <x:c r="O66" s="20" t="str">
        <x:f>IF(ABS(D66-(Inputs!$G$4+Inputs!$B$4))&lt;0.000001,"Low Risk",IF(ABS(D66-(Inputs!$G$4+Inputs!$B$5))&lt;0.000001,"Moderate Risk",IF(ABS(D66-(Inputs!$G$4+Inputs!$B$6))&lt;0.000001,"High Risk","Worst Scenario")))</x:f>
        <x:v>Worst Scenario</x:v>
      </x:c>
      <x:c r="P66" s="28" t="n">
        <x:f>IF(A66="Purchase Order Funding",Inputs!$G$13,IF(B66=500000,180,IF(B66=750000,365,1095)))</x:f>
        <x:v>90</x:v>
      </x:c>
      <x:c r="Q66" s="20" t="n">
        <x:f>D66</x:f>
        <x:v>0.21</x:v>
      </x:c>
      <x:c r="R66" s="30" t="n">
        <x:f>B66+C66+E66+F66+L66</x:f>
        <x:v>562926.0273972602</x:v>
      </x:c>
      <x:c r="S66" s="30" t="n">
        <x:f>(B66+E66)*J66</x:f>
        <x:v>350.593607305936</x:v>
      </x:c>
      <x:c r="T66" s="30" t="n">
        <x:f>C66+E66+F66+L66</x:f>
        <x:v>62926.02739726027</x:v>
      </x:c>
      <x:c r="U66" s="30" t="n">
        <x:f>E66</x:f>
        <x:v>25890.41095890411</x:v>
      </x:c>
      <x:c r="V66" s="30" t="n">
        <x:f>C66</x:f>
        <x:v>1000</x:v>
      </x:c>
      <x:c r="W66" s="30" t="n">
        <x:f>F66</x:f>
        <x:v>15000</x:v>
      </x:c>
      <x:c r="X66" s="30" t="n">
        <x:f>L66</x:f>
        <x:v>21035.616438356163</x:v>
      </x:c>
      <x:c r="Y66" s="30" t="n">
        <x:f>SUM(U66:X66)</x:f>
        <x:v>62926.02739726027</x:v>
      </x:c>
    </x:row>
    <x:row r="67">
      <x:c r="A67" t="str">
        <x:v>Purchase Order Funding</x:v>
      </x:c>
      <x:c r="B67" s="30" t="n">
        <x:v>500000</x:v>
      </x:c>
      <x:c r="C67" s="30" t="n">
        <x:f>Inputs!$G$5</x:f>
        <x:v>1000</x:v>
      </x:c>
      <x:c r="D67" s="20" t="n">
        <x:f>Inputs!$G$4+VLOOKUP(M67,Inputs!$A$4:$B$7,2,FALSE)</x:f>
        <x:v>0.21</x:v>
      </x:c>
      <x:c r="E67" s="30" t="n">
        <x:f>B67*D67*N67/Inputs!$G$8</x:f>
        <x:v>25890.41095890411</x:v>
      </x:c>
      <x:c r="F67" s="30" t="n">
        <x:f>B67*Inputs!$G$6</x:f>
        <x:v>15000</x:v>
      </x:c>
      <x:c r="G67" t="str">
        <x:v>90 Days</x:v>
      </x:c>
      <x:c r="H67" s="28" t="n">
        <x:v>90</x:v>
      </x:c>
      <x:c r="I67" s="52" t="n">
        <x:f>Inputs!$G$7</x:f>
        <x:v>0.02</x:v>
      </x:c>
      <x:c r="J67" s="52" t="n">
        <x:f>I67/30</x:f>
        <x:v>0.0006666666666666666</x:v>
      </x:c>
      <x:c r="K67" s="52" t="n">
        <x:f>J67*H67</x:f>
        <x:v>0.06</x:v>
      </x:c>
      <x:c r="L67" s="30" t="n">
        <x:f>(B67+E67)*K67</x:f>
        <x:v>31553.424657534244</x:v>
      </x:c>
      <x:c r="M67" s="30" t="n">
        <x:f>E67</x:f>
        <x:v>25890.41095890411</x:v>
      </x:c>
      <x:c r="N67" s="30">
        <x:f>R67-C67-F67</x:f>
      </x:c>
      <x:c r="O67" s="20" t="str">
        <x:f>IF(ABS(D67-(Inputs!$G$4+Inputs!$B$4))&lt;0.000001,"Low Risk",IF(ABS(D67-(Inputs!$G$4+Inputs!$B$5))&lt;0.000001,"Moderate Risk",IF(ABS(D67-(Inputs!$G$4+Inputs!$B$6))&lt;0.000001,"High Risk","Worst Scenario")))</x:f>
        <x:v>Worst Scenario</x:v>
      </x:c>
      <x:c r="P67" s="28" t="n">
        <x:f>IF(A67="Purchase Order Funding",Inputs!$G$13,IF(B67=500000,180,IF(B67=750000,365,1095)))</x:f>
        <x:v>90</x:v>
      </x:c>
      <x:c r="Q67" s="20" t="n">
        <x:f>D67</x:f>
        <x:v>0.21</x:v>
      </x:c>
      <x:c r="R67" s="30" t="n">
        <x:f>B67+C67+E67+F67+L67</x:f>
        <x:v>573443.8356164383</x:v>
      </x:c>
      <x:c r="S67" s="30" t="n">
        <x:f>(B67+E67)*J67</x:f>
        <x:v>350.593607305936</x:v>
      </x:c>
      <x:c r="T67" s="30" t="n">
        <x:f>C67+E67+F67+L67</x:f>
        <x:v>73443.83561643836</x:v>
      </x:c>
      <x:c r="U67" s="30" t="n">
        <x:f>E67</x:f>
        <x:v>25890.41095890411</x:v>
      </x:c>
      <x:c r="V67" s="30" t="n">
        <x:f>C67</x:f>
        <x:v>1000</x:v>
      </x:c>
      <x:c r="W67" s="30" t="n">
        <x:f>F67</x:f>
        <x:v>15000</x:v>
      </x:c>
      <x:c r="X67" s="30" t="n">
        <x:f>L67</x:f>
        <x:v>31553.424657534244</x:v>
      </x:c>
      <x:c r="Y67" s="30" t="n">
        <x:f>SUM(U67:X67)</x:f>
        <x:v>73443.83561643836</x:v>
      </x:c>
    </x:row>
    <x:row r="68">
      <x:c r="A68" t="str">
        <x:v>Purchase Order Funding</x:v>
      </x:c>
      <x:c r="B68" s="30" t="n">
        <x:v>500000</x:v>
      </x:c>
      <x:c r="C68" s="30" t="n">
        <x:f>Inputs!$G$5</x:f>
        <x:v>1000</x:v>
      </x:c>
      <x:c r="D68" s="20" t="n">
        <x:f>Inputs!$G$4+VLOOKUP(M68,Inputs!$A$4:$B$7,2,FALSE)</x:f>
        <x:v>0.21</x:v>
      </x:c>
      <x:c r="E68" s="30" t="n">
        <x:f>B68*D68*N68/Inputs!$G$8</x:f>
        <x:v>25890.41095890411</x:v>
      </x:c>
      <x:c r="F68" s="30" t="n">
        <x:f>B68*Inputs!$G$6</x:f>
        <x:v>15000</x:v>
      </x:c>
      <x:c r="G68" t="str">
        <x:v>120 Days</x:v>
      </x:c>
      <x:c r="H68" s="28" t="n">
        <x:v>120</x:v>
      </x:c>
      <x:c r="I68" s="52" t="n">
        <x:f>Inputs!$G$7</x:f>
        <x:v>0.02</x:v>
      </x:c>
      <x:c r="J68" s="52" t="n">
        <x:f>I68/30</x:f>
        <x:v>0.0006666666666666666</x:v>
      </x:c>
      <x:c r="K68" s="52" t="n">
        <x:f>J68*H68</x:f>
        <x:v>0.08</x:v>
      </x:c>
      <x:c r="L68" s="30" t="n">
        <x:f>(B68+E68)*K68</x:f>
        <x:v>42071.232876712325</x:v>
      </x:c>
      <x:c r="M68" s="30" t="n">
        <x:f>E68</x:f>
        <x:v>25890.41095890411</x:v>
      </x:c>
      <x:c r="N68" s="30">
        <x:f>R68-C68-F68</x:f>
      </x:c>
      <x:c r="O68" s="20" t="str">
        <x:f>IF(ABS(D68-(Inputs!$G$4+Inputs!$B$4))&lt;0.000001,"Low Risk",IF(ABS(D68-(Inputs!$G$4+Inputs!$B$5))&lt;0.000001,"Moderate Risk",IF(ABS(D68-(Inputs!$G$4+Inputs!$B$6))&lt;0.000001,"High Risk","Worst Scenario")))</x:f>
        <x:v>Worst Scenario</x:v>
      </x:c>
      <x:c r="P68" s="28" t="n">
        <x:f>IF(A68="Purchase Order Funding",Inputs!$G$13,IF(B68=500000,180,IF(B68=750000,365,1095)))</x:f>
        <x:v>90</x:v>
      </x:c>
      <x:c r="Q68" s="20" t="n">
        <x:f>D68</x:f>
        <x:v>0.21</x:v>
      </x:c>
      <x:c r="R68" s="30" t="n">
        <x:f>B68+C68+E68+F68+L68</x:f>
        <x:v>583961.6438356164</x:v>
      </x:c>
      <x:c r="S68" s="30" t="n">
        <x:f>(B68+E68)*J68</x:f>
        <x:v>350.593607305936</x:v>
      </x:c>
      <x:c r="T68" s="30" t="n">
        <x:f>C68+E68+F68+L68</x:f>
        <x:v>83961.64383561644</x:v>
      </x:c>
      <x:c r="U68" s="30" t="n">
        <x:f>E68</x:f>
        <x:v>25890.41095890411</x:v>
      </x:c>
      <x:c r="V68" s="30" t="n">
        <x:f>C68</x:f>
        <x:v>1000</x:v>
      </x:c>
      <x:c r="W68" s="30" t="n">
        <x:f>F68</x:f>
        <x:v>15000</x:v>
      </x:c>
      <x:c r="X68" s="30" t="n">
        <x:f>L68</x:f>
        <x:v>42071.232876712325</x:v>
      </x:c>
      <x:c r="Y68" s="30" t="n">
        <x:f>SUM(U68:X68)</x:f>
        <x:v>83961.64383561644</x:v>
      </x:c>
    </x:row>
    <x:row r="69">
      <x:c r="A69" t="str">
        <x:v>Short Term Contract</x:v>
      </x:c>
      <x:c r="B69" s="30" t="n">
        <x:v>500000</x:v>
      </x:c>
      <x:c r="C69" s="30" t="n">
        <x:f>Inputs!$G$5</x:f>
        <x:v>1000</x:v>
      </x:c>
      <x:c r="D69" s="20" t="n">
        <x:f>Inputs!$G$4+VLOOKUP(M69,Inputs!$A$4:$B$7,2,FALSE)</x:f>
        <x:v>0.155</x:v>
      </x:c>
      <x:c r="E69" s="30" t="n">
        <x:f>B69*D69*N69/Inputs!$G$8</x:f>
        <x:v>38219.17808219178</x:v>
      </x:c>
      <x:c r="F69" s="30" t="n">
        <x:f>B69*Inputs!$G$6</x:f>
        <x:v>15000</x:v>
      </x:c>
      <x:c r="G69" t="str">
        <x:v>30 Days</x:v>
      </x:c>
      <x:c r="H69" s="28" t="n">
        <x:v>30</x:v>
      </x:c>
      <x:c r="I69" s="52" t="n">
        <x:f>Inputs!$G$7</x:f>
        <x:v>0.02</x:v>
      </x:c>
      <x:c r="J69" s="52" t="n">
        <x:f>I69/30</x:f>
        <x:v>0.0006666666666666666</x:v>
      </x:c>
      <x:c r="K69" s="52" t="n">
        <x:f>J69*H69</x:f>
        <x:v>0.02</x:v>
      </x:c>
      <x:c r="L69" s="30" t="n">
        <x:f>(B69+E69)*K69</x:f>
        <x:v>10764.383561643835</x:v>
      </x:c>
      <x:c r="M69" s="30" t="n">
        <x:f>E69</x:f>
        <x:v>38219.17808219178</x:v>
      </x:c>
      <x:c r="N69" s="30">
        <x:f>R69-C69-F69</x:f>
      </x:c>
      <x:c r="O69" s="20" t="str">
        <x:f>IF(ABS(D69-(Inputs!$G$4+Inputs!$B$4))&lt;0.000001,"Low Risk",IF(ABS(D69-(Inputs!$G$4+Inputs!$B$5))&lt;0.000001,"Moderate Risk",IF(ABS(D69-(Inputs!$G$4+Inputs!$B$6))&lt;0.000001,"High Risk","Worst Scenario")))</x:f>
        <x:v>Low Risk</x:v>
      </x:c>
      <x:c r="P69" s="28" t="n">
        <x:f>IF(A69="Purchase Order Funding",Inputs!$G$13,IF(B69=500000,180,IF(B69=750000,365,1095)))</x:f>
        <x:v>180</x:v>
      </x:c>
      <x:c r="Q69" s="20" t="n">
        <x:f>D69</x:f>
        <x:v>0.155</x:v>
      </x:c>
      <x:c r="R69" s="30" t="n">
        <x:f>B69+C69+E69+F69+L69</x:f>
        <x:v>564983.5616438356</x:v>
      </x:c>
      <x:c r="S69" s="30" t="n">
        <x:f>(B69+E69)*J69</x:f>
        <x:v>358.8127853881278</x:v>
      </x:c>
      <x:c r="T69" s="30" t="n">
        <x:f>C69+E69+F69+L69</x:f>
        <x:v>64983.561643835616</x:v>
      </x:c>
      <x:c r="U69" s="30" t="n">
        <x:f>E69</x:f>
        <x:v>38219.17808219178</x:v>
      </x:c>
      <x:c r="V69" s="30" t="n">
        <x:f>C69</x:f>
        <x:v>1000</x:v>
      </x:c>
      <x:c r="W69" s="30" t="n">
        <x:f>F69</x:f>
        <x:v>15000</x:v>
      </x:c>
      <x:c r="X69" s="30" t="n">
        <x:f>L69</x:f>
        <x:v>10764.383561643835</x:v>
      </x:c>
      <x:c r="Y69" s="30" t="n">
        <x:f>SUM(U69:X69)</x:f>
        <x:v>64983.561643835616</x:v>
      </x:c>
    </x:row>
    <x:row r="70">
      <x:c r="A70" t="str">
        <x:v>Short Term Contract</x:v>
      </x:c>
      <x:c r="B70" s="30" t="n">
        <x:v>500000</x:v>
      </x:c>
      <x:c r="C70" s="30" t="n">
        <x:f>Inputs!$G$5</x:f>
        <x:v>1000</x:v>
      </x:c>
      <x:c r="D70" s="20" t="n">
        <x:f>Inputs!$G$4+VLOOKUP(M70,Inputs!$A$4:$B$7,2,FALSE)</x:f>
        <x:v>0.155</x:v>
      </x:c>
      <x:c r="E70" s="30" t="n">
        <x:f>B70*D70*N70/Inputs!$G$8</x:f>
        <x:v>38219.17808219178</x:v>
      </x:c>
      <x:c r="F70" s="30" t="n">
        <x:f>B70*Inputs!$G$6</x:f>
        <x:v>15000</x:v>
      </x:c>
      <x:c r="G70" t="str">
        <x:v>60 Days</x:v>
      </x:c>
      <x:c r="H70" s="28" t="n">
        <x:v>60</x:v>
      </x:c>
      <x:c r="I70" s="52" t="n">
        <x:f>Inputs!$G$7</x:f>
        <x:v>0.02</x:v>
      </x:c>
      <x:c r="J70" s="52" t="n">
        <x:f>I70/30</x:f>
        <x:v>0.0006666666666666666</x:v>
      </x:c>
      <x:c r="K70" s="52" t="n">
        <x:f>J70*H70</x:f>
        <x:v>0.04</x:v>
      </x:c>
      <x:c r="L70" s="30" t="n">
        <x:f>(B70+E70)*K70</x:f>
        <x:v>21528.76712328767</x:v>
      </x:c>
      <x:c r="M70" s="30" t="n">
        <x:f>E70</x:f>
        <x:v>38219.17808219178</x:v>
      </x:c>
      <x:c r="N70" s="30">
        <x:f>R70-C70-F70</x:f>
      </x:c>
      <x:c r="O70" s="20" t="str">
        <x:f>IF(ABS(D70-(Inputs!$G$4+Inputs!$B$4))&lt;0.000001,"Low Risk",IF(ABS(D70-(Inputs!$G$4+Inputs!$B$5))&lt;0.000001,"Moderate Risk",IF(ABS(D70-(Inputs!$G$4+Inputs!$B$6))&lt;0.000001,"High Risk","Worst Scenario")))</x:f>
        <x:v>Low Risk</x:v>
      </x:c>
      <x:c r="P70" s="28" t="n">
        <x:f>IF(A70="Purchase Order Funding",Inputs!$G$13,IF(B70=500000,180,IF(B70=750000,365,1095)))</x:f>
        <x:v>180</x:v>
      </x:c>
      <x:c r="Q70" s="20" t="n">
        <x:f>D70</x:f>
        <x:v>0.155</x:v>
      </x:c>
      <x:c r="R70" s="30" t="n">
        <x:f>B70+C70+E70+F70+L70</x:f>
        <x:v>575747.9452054794</x:v>
      </x:c>
      <x:c r="S70" s="30" t="n">
        <x:f>(B70+E70)*J70</x:f>
        <x:v>358.8127853881278</x:v>
      </x:c>
      <x:c r="T70" s="30" t="n">
        <x:f>C70+E70+F70+L70</x:f>
        <x:v>75747.94520547945</x:v>
      </x:c>
      <x:c r="U70" s="30" t="n">
        <x:f>E70</x:f>
        <x:v>38219.17808219178</x:v>
      </x:c>
      <x:c r="V70" s="30" t="n">
        <x:f>C70</x:f>
        <x:v>1000</x:v>
      </x:c>
      <x:c r="W70" s="30" t="n">
        <x:f>F70</x:f>
        <x:v>15000</x:v>
      </x:c>
      <x:c r="X70" s="30" t="n">
        <x:f>L70</x:f>
        <x:v>21528.76712328767</x:v>
      </x:c>
      <x:c r="Y70" s="30" t="n">
        <x:f>SUM(U70:X70)</x:f>
        <x:v>75747.94520547945</x:v>
      </x:c>
    </x:row>
    <x:row r="71">
      <x:c r="A71" t="str">
        <x:v>Short Term Contract</x:v>
      </x:c>
      <x:c r="B71" s="30" t="n">
        <x:v>500000</x:v>
      </x:c>
      <x:c r="C71" s="30" t="n">
        <x:f>Inputs!$G$5</x:f>
        <x:v>1000</x:v>
      </x:c>
      <x:c r="D71" s="20" t="n">
        <x:f>Inputs!$G$4+VLOOKUP(M71,Inputs!$A$4:$B$7,2,FALSE)</x:f>
        <x:v>0.155</x:v>
      </x:c>
      <x:c r="E71" s="30" t="n">
        <x:f>B71*D71*N71/Inputs!$G$8</x:f>
        <x:v>38219.17808219178</x:v>
      </x:c>
      <x:c r="F71" s="30" t="n">
        <x:f>B71*Inputs!$G$6</x:f>
        <x:v>15000</x:v>
      </x:c>
      <x:c r="G71" t="str">
        <x:v>90 Days</x:v>
      </x:c>
      <x:c r="H71" s="28" t="n">
        <x:v>90</x:v>
      </x:c>
      <x:c r="I71" s="52" t="n">
        <x:f>Inputs!$G$7</x:f>
        <x:v>0.02</x:v>
      </x:c>
      <x:c r="J71" s="52" t="n">
        <x:f>I71/30</x:f>
        <x:v>0.0006666666666666666</x:v>
      </x:c>
      <x:c r="K71" s="52" t="n">
        <x:f>J71*H71</x:f>
        <x:v>0.06</x:v>
      </x:c>
      <x:c r="L71" s="30" t="n">
        <x:f>(B71+E71)*K71</x:f>
        <x:v>32293.150684931505</x:v>
      </x:c>
      <x:c r="M71" s="30" t="n">
        <x:f>E71</x:f>
        <x:v>38219.17808219178</x:v>
      </x:c>
      <x:c r="N71" s="30">
        <x:f>R71-C71-F71</x:f>
      </x:c>
      <x:c r="O71" s="20" t="str">
        <x:f>IF(ABS(D71-(Inputs!$G$4+Inputs!$B$4))&lt;0.000001,"Low Risk",IF(ABS(D71-(Inputs!$G$4+Inputs!$B$5))&lt;0.000001,"Moderate Risk",IF(ABS(D71-(Inputs!$G$4+Inputs!$B$6))&lt;0.000001,"High Risk","Worst Scenario")))</x:f>
        <x:v>Low Risk</x:v>
      </x:c>
      <x:c r="P71" s="28" t="n">
        <x:f>IF(A71="Purchase Order Funding",Inputs!$G$13,IF(B71=500000,180,IF(B71=750000,365,1095)))</x:f>
        <x:v>180</x:v>
      </x:c>
      <x:c r="Q71" s="20" t="n">
        <x:f>D71</x:f>
        <x:v>0.155</x:v>
      </x:c>
      <x:c r="R71" s="30" t="n">
        <x:f>B71+C71+E71+F71+L71</x:f>
        <x:v>586512.3287671233</x:v>
      </x:c>
      <x:c r="S71" s="30" t="n">
        <x:f>(B71+E71)*J71</x:f>
        <x:v>358.8127853881278</x:v>
      </x:c>
      <x:c r="T71" s="30" t="n">
        <x:f>C71+E71+F71+L71</x:f>
        <x:v>86512.32876712328</x:v>
      </x:c>
      <x:c r="U71" s="30" t="n">
        <x:f>E71</x:f>
        <x:v>38219.17808219178</x:v>
      </x:c>
      <x:c r="V71" s="30" t="n">
        <x:f>C71</x:f>
        <x:v>1000</x:v>
      </x:c>
      <x:c r="W71" s="30" t="n">
        <x:f>F71</x:f>
        <x:v>15000</x:v>
      </x:c>
      <x:c r="X71" s="30" t="n">
        <x:f>L71</x:f>
        <x:v>32293.150684931505</x:v>
      </x:c>
      <x:c r="Y71" s="30" t="n">
        <x:f>SUM(U71:X71)</x:f>
        <x:v>86512.32876712328</x:v>
      </x:c>
    </x:row>
    <x:row r="72">
      <x:c r="A72" t="str">
        <x:v>Short Term Contract</x:v>
      </x:c>
      <x:c r="B72" s="30" t="n">
        <x:v>500000</x:v>
      </x:c>
      <x:c r="C72" s="30" t="n">
        <x:f>Inputs!$G$5</x:f>
        <x:v>1000</x:v>
      </x:c>
      <x:c r="D72" s="20" t="n">
        <x:f>Inputs!$G$4+VLOOKUP(M72,Inputs!$A$4:$B$7,2,FALSE)</x:f>
        <x:v>0.155</x:v>
      </x:c>
      <x:c r="E72" s="30" t="n">
        <x:f>B72*D72*N72/Inputs!$G$8</x:f>
        <x:v>38219.17808219178</x:v>
      </x:c>
      <x:c r="F72" s="30" t="n">
        <x:f>B72*Inputs!$G$6</x:f>
        <x:v>15000</x:v>
      </x:c>
      <x:c r="G72" t="str">
        <x:v>120 Days</x:v>
      </x:c>
      <x:c r="H72" s="28" t="n">
        <x:v>120</x:v>
      </x:c>
      <x:c r="I72" s="52" t="n">
        <x:f>Inputs!$G$7</x:f>
        <x:v>0.02</x:v>
      </x:c>
      <x:c r="J72" s="52" t="n">
        <x:f>I72/30</x:f>
        <x:v>0.0006666666666666666</x:v>
      </x:c>
      <x:c r="K72" s="52" t="n">
        <x:f>J72*H72</x:f>
        <x:v>0.08</x:v>
      </x:c>
      <x:c r="L72" s="30" t="n">
        <x:f>(B72+E72)*K72</x:f>
        <x:v>43057.53424657534</x:v>
      </x:c>
      <x:c r="M72" s="30" t="n">
        <x:f>E72</x:f>
        <x:v>38219.17808219178</x:v>
      </x:c>
      <x:c r="N72" s="30">
        <x:f>R72-C72-F72</x:f>
      </x:c>
      <x:c r="O72" s="20" t="str">
        <x:f>IF(ABS(D72-(Inputs!$G$4+Inputs!$B$4))&lt;0.000001,"Low Risk",IF(ABS(D72-(Inputs!$G$4+Inputs!$B$5))&lt;0.000001,"Moderate Risk",IF(ABS(D72-(Inputs!$G$4+Inputs!$B$6))&lt;0.000001,"High Risk","Worst Scenario")))</x:f>
        <x:v>Low Risk</x:v>
      </x:c>
      <x:c r="P72" s="28" t="n">
        <x:f>IF(A72="Purchase Order Funding",Inputs!$G$13,IF(B72=500000,180,IF(B72=750000,365,1095)))</x:f>
        <x:v>180</x:v>
      </x:c>
      <x:c r="Q72" s="20" t="n">
        <x:f>D72</x:f>
        <x:v>0.155</x:v>
      </x:c>
      <x:c r="R72" s="30" t="n">
        <x:f>B72+C72+E72+F72+L72</x:f>
        <x:v>597276.712328767</x:v>
      </x:c>
      <x:c r="S72" s="30" t="n">
        <x:f>(B72+E72)*J72</x:f>
        <x:v>358.8127853881278</x:v>
      </x:c>
      <x:c r="T72" s="30" t="n">
        <x:f>C72+E72+F72+L72</x:f>
        <x:v>97276.71232876711</x:v>
      </x:c>
      <x:c r="U72" s="30" t="n">
        <x:f>E72</x:f>
        <x:v>38219.17808219178</x:v>
      </x:c>
      <x:c r="V72" s="30" t="n">
        <x:f>C72</x:f>
        <x:v>1000</x:v>
      </x:c>
      <x:c r="W72" s="30" t="n">
        <x:f>F72</x:f>
        <x:v>15000</x:v>
      </x:c>
      <x:c r="X72" s="30" t="n">
        <x:f>L72</x:f>
        <x:v>43057.53424657534</x:v>
      </x:c>
      <x:c r="Y72" s="30" t="n">
        <x:f>SUM(U72:X72)</x:f>
        <x:v>97276.71232876711</x:v>
      </x:c>
    </x:row>
    <x:row r="73">
      <x:c r="A73" t="str">
        <x:v>Short Term Contract</x:v>
      </x:c>
      <x:c r="B73" s="30" t="n">
        <x:v>500000</x:v>
      </x:c>
      <x:c r="C73" s="30" t="n">
        <x:f>Inputs!$G$5</x:f>
        <x:v>1000</x:v>
      </x:c>
      <x:c r="D73" s="20" t="n">
        <x:f>Inputs!$G$4+VLOOKUP(M73,Inputs!$A$4:$B$7,2,FALSE)</x:f>
        <x:v>0.16999999999999998</x:v>
      </x:c>
      <x:c r="E73" s="30" t="n">
        <x:f>B73*D73*N73/Inputs!$G$8</x:f>
        <x:v>41917.80821917808</x:v>
      </x:c>
      <x:c r="F73" s="30" t="n">
        <x:f>B73*Inputs!$G$6</x:f>
        <x:v>15000</x:v>
      </x:c>
      <x:c r="G73" t="str">
        <x:v>30 Days</x:v>
      </x:c>
      <x:c r="H73" s="28" t="n">
        <x:v>30</x:v>
      </x:c>
      <x:c r="I73" s="52" t="n">
        <x:f>Inputs!$G$7</x:f>
        <x:v>0.02</x:v>
      </x:c>
      <x:c r="J73" s="52" t="n">
        <x:f>I73/30</x:f>
        <x:v>0.0006666666666666666</x:v>
      </x:c>
      <x:c r="K73" s="52" t="n">
        <x:f>J73*H73</x:f>
        <x:v>0.02</x:v>
      </x:c>
      <x:c r="L73" s="30" t="n">
        <x:f>(B73+E73)*K73</x:f>
        <x:v>10838.356164383562</x:v>
      </x:c>
      <x:c r="M73" s="30" t="n">
        <x:f>E73</x:f>
        <x:v>41917.80821917808</x:v>
      </x:c>
      <x:c r="N73" s="30">
        <x:f>R73-C73-F73</x:f>
      </x:c>
      <x:c r="O73" s="20" t="str">
        <x:f>IF(ABS(D73-(Inputs!$G$4+Inputs!$B$4))&lt;0.000001,"Low Risk",IF(ABS(D73-(Inputs!$G$4+Inputs!$B$5))&lt;0.000001,"Moderate Risk",IF(ABS(D73-(Inputs!$G$4+Inputs!$B$6))&lt;0.000001,"High Risk","Worst Scenario")))</x:f>
        <x:v>Moderate Risk</x:v>
      </x:c>
      <x:c r="P73" s="28" t="n">
        <x:f>IF(A73="Purchase Order Funding",Inputs!$G$13,IF(B73=500000,180,IF(B73=750000,365,1095)))</x:f>
        <x:v>180</x:v>
      </x:c>
      <x:c r="Q73" s="20" t="n">
        <x:f>D73</x:f>
        <x:v>0.16999999999999998</x:v>
      </x:c>
      <x:c r="R73" s="30" t="n">
        <x:f>B73+C73+E73+F73+L73</x:f>
        <x:v>568756.1643835617</x:v>
      </x:c>
      <x:c r="S73" s="30" t="n">
        <x:f>(B73+E73)*J73</x:f>
        <x:v>361.27853881278537</x:v>
      </x:c>
      <x:c r="T73" s="30" t="n">
        <x:f>C73+E73+F73+L73</x:f>
        <x:v>68756.16438356164</x:v>
      </x:c>
      <x:c r="U73" s="30" t="n">
        <x:f>E73</x:f>
        <x:v>41917.80821917808</x:v>
      </x:c>
      <x:c r="V73" s="30" t="n">
        <x:f>C73</x:f>
        <x:v>1000</x:v>
      </x:c>
      <x:c r="W73" s="30" t="n">
        <x:f>F73</x:f>
        <x:v>15000</x:v>
      </x:c>
      <x:c r="X73" s="30" t="n">
        <x:f>L73</x:f>
        <x:v>10838.356164383562</x:v>
      </x:c>
      <x:c r="Y73" s="30" t="n">
        <x:f>SUM(U73:X73)</x:f>
        <x:v>68756.16438356164</x:v>
      </x:c>
    </x:row>
    <x:row r="74">
      <x:c r="A74" t="str">
        <x:v>Short Term Contract</x:v>
      </x:c>
      <x:c r="B74" s="30" t="n">
        <x:v>500000</x:v>
      </x:c>
      <x:c r="C74" s="30" t="n">
        <x:f>Inputs!$G$5</x:f>
        <x:v>1000</x:v>
      </x:c>
      <x:c r="D74" s="20" t="n">
        <x:f>Inputs!$G$4+VLOOKUP(M74,Inputs!$A$4:$B$7,2,FALSE)</x:f>
        <x:v>0.16999999999999998</x:v>
      </x:c>
      <x:c r="E74" s="30" t="n">
        <x:f>B74*D74*N74/Inputs!$G$8</x:f>
        <x:v>41917.80821917808</x:v>
      </x:c>
      <x:c r="F74" s="30" t="n">
        <x:f>B74*Inputs!$G$6</x:f>
        <x:v>15000</x:v>
      </x:c>
      <x:c r="G74" t="str">
        <x:v>60 Days</x:v>
      </x:c>
      <x:c r="H74" s="28" t="n">
        <x:v>60</x:v>
      </x:c>
      <x:c r="I74" s="52" t="n">
        <x:f>Inputs!$G$7</x:f>
        <x:v>0.02</x:v>
      </x:c>
      <x:c r="J74" s="52" t="n">
        <x:f>I74/30</x:f>
        <x:v>0.0006666666666666666</x:v>
      </x:c>
      <x:c r="K74" s="52" t="n">
        <x:f>J74*H74</x:f>
        <x:v>0.04</x:v>
      </x:c>
      <x:c r="L74" s="30" t="n">
        <x:f>(B74+E74)*K74</x:f>
        <x:v>21676.712328767124</x:v>
      </x:c>
      <x:c r="M74" s="30" t="n">
        <x:f>E74</x:f>
        <x:v>41917.80821917808</x:v>
      </x:c>
      <x:c r="N74" s="30">
        <x:f>R74-C74-F74</x:f>
      </x:c>
      <x:c r="O74" s="20" t="str">
        <x:f>IF(ABS(D74-(Inputs!$G$4+Inputs!$B$4))&lt;0.000001,"Low Risk",IF(ABS(D74-(Inputs!$G$4+Inputs!$B$5))&lt;0.000001,"Moderate Risk",IF(ABS(D74-(Inputs!$G$4+Inputs!$B$6))&lt;0.000001,"High Risk","Worst Scenario")))</x:f>
        <x:v>Moderate Risk</x:v>
      </x:c>
      <x:c r="P74" s="28" t="n">
        <x:f>IF(A74="Purchase Order Funding",Inputs!$G$13,IF(B74=500000,180,IF(B74=750000,365,1095)))</x:f>
        <x:v>180</x:v>
      </x:c>
      <x:c r="Q74" s="20" t="n">
        <x:f>D74</x:f>
        <x:v>0.16999999999999998</x:v>
      </x:c>
      <x:c r="R74" s="30" t="n">
        <x:f>B74+C74+E74+F74+L74</x:f>
        <x:v>579594.5205479453</x:v>
      </x:c>
      <x:c r="S74" s="30" t="n">
        <x:f>(B74+E74)*J74</x:f>
        <x:v>361.27853881278537</x:v>
      </x:c>
      <x:c r="T74" s="30" t="n">
        <x:f>C74+E74+F74+L74</x:f>
        <x:v>79594.5205479452</x:v>
      </x:c>
      <x:c r="U74" s="30" t="n">
        <x:f>E74</x:f>
        <x:v>41917.80821917808</x:v>
      </x:c>
      <x:c r="V74" s="30" t="n">
        <x:f>C74</x:f>
        <x:v>1000</x:v>
      </x:c>
      <x:c r="W74" s="30" t="n">
        <x:f>F74</x:f>
        <x:v>15000</x:v>
      </x:c>
      <x:c r="X74" s="30" t="n">
        <x:f>L74</x:f>
        <x:v>21676.712328767124</x:v>
      </x:c>
      <x:c r="Y74" s="30" t="n">
        <x:f>SUM(U74:X74)</x:f>
        <x:v>79594.5205479452</x:v>
      </x:c>
    </x:row>
    <x:row r="75">
      <x:c r="A75" t="str">
        <x:v>Short Term Contract</x:v>
      </x:c>
      <x:c r="B75" s="30" t="n">
        <x:v>500000</x:v>
      </x:c>
      <x:c r="C75" s="30" t="n">
        <x:f>Inputs!$G$5</x:f>
        <x:v>1000</x:v>
      </x:c>
      <x:c r="D75" s="20" t="n">
        <x:f>Inputs!$G$4+VLOOKUP(M75,Inputs!$A$4:$B$7,2,FALSE)</x:f>
        <x:v>0.16999999999999998</x:v>
      </x:c>
      <x:c r="E75" s="30" t="n">
        <x:f>B75*D75*N75/Inputs!$G$8</x:f>
        <x:v>41917.80821917808</x:v>
      </x:c>
      <x:c r="F75" s="30" t="n">
        <x:f>B75*Inputs!$G$6</x:f>
        <x:v>15000</x:v>
      </x:c>
      <x:c r="G75" t="str">
        <x:v>90 Days</x:v>
      </x:c>
      <x:c r="H75" s="28" t="n">
        <x:v>90</x:v>
      </x:c>
      <x:c r="I75" s="52" t="n">
        <x:f>Inputs!$G$7</x:f>
        <x:v>0.02</x:v>
      </x:c>
      <x:c r="J75" s="52" t="n">
        <x:f>I75/30</x:f>
        <x:v>0.0006666666666666666</x:v>
      </x:c>
      <x:c r="K75" s="52" t="n">
        <x:f>J75*H75</x:f>
        <x:v>0.06</x:v>
      </x:c>
      <x:c r="L75" s="30" t="n">
        <x:f>(B75+E75)*K75</x:f>
        <x:v>32515.068493150684</x:v>
      </x:c>
      <x:c r="M75" s="30" t="n">
        <x:f>E75</x:f>
        <x:v>41917.80821917808</x:v>
      </x:c>
      <x:c r="N75" s="30">
        <x:f>R75-C75-F75</x:f>
      </x:c>
      <x:c r="O75" s="20" t="str">
        <x:f>IF(ABS(D75-(Inputs!$G$4+Inputs!$B$4))&lt;0.000001,"Low Risk",IF(ABS(D75-(Inputs!$G$4+Inputs!$B$5))&lt;0.000001,"Moderate Risk",IF(ABS(D75-(Inputs!$G$4+Inputs!$B$6))&lt;0.000001,"High Risk","Worst Scenario")))</x:f>
        <x:v>Moderate Risk</x:v>
      </x:c>
      <x:c r="P75" s="28" t="n">
        <x:f>IF(A75="Purchase Order Funding",Inputs!$G$13,IF(B75=500000,180,IF(B75=750000,365,1095)))</x:f>
        <x:v>180</x:v>
      </x:c>
      <x:c r="Q75" s="20" t="n">
        <x:f>D75</x:f>
        <x:v>0.16999999999999998</x:v>
      </x:c>
      <x:c r="R75" s="30" t="n">
        <x:f>B75+C75+E75+F75+L75</x:f>
        <x:v>590432.8767123288</x:v>
      </x:c>
      <x:c r="S75" s="30" t="n">
        <x:f>(B75+E75)*J75</x:f>
        <x:v>361.27853881278537</x:v>
      </x:c>
      <x:c r="T75" s="30" t="n">
        <x:f>C75+E75+F75+L75</x:f>
        <x:v>90432.87671232875</x:v>
      </x:c>
      <x:c r="U75" s="30" t="n">
        <x:f>E75</x:f>
        <x:v>41917.80821917808</x:v>
      </x:c>
      <x:c r="V75" s="30" t="n">
        <x:f>C75</x:f>
        <x:v>1000</x:v>
      </x:c>
      <x:c r="W75" s="30" t="n">
        <x:f>F75</x:f>
        <x:v>15000</x:v>
      </x:c>
      <x:c r="X75" s="30" t="n">
        <x:f>L75</x:f>
        <x:v>32515.068493150684</x:v>
      </x:c>
      <x:c r="Y75" s="30" t="n">
        <x:f>SUM(U75:X75)</x:f>
        <x:v>90432.87671232875</x:v>
      </x:c>
    </x:row>
    <x:row r="76">
      <x:c r="A76" t="str">
        <x:v>Short Term Contract</x:v>
      </x:c>
      <x:c r="B76" s="30" t="n">
        <x:v>500000</x:v>
      </x:c>
      <x:c r="C76" s="30" t="n">
        <x:f>Inputs!$G$5</x:f>
        <x:v>1000</x:v>
      </x:c>
      <x:c r="D76" s="20" t="n">
        <x:f>Inputs!$G$4+VLOOKUP(M76,Inputs!$A$4:$B$7,2,FALSE)</x:f>
        <x:v>0.16999999999999998</x:v>
      </x:c>
      <x:c r="E76" s="30" t="n">
        <x:f>B76*D76*N76/Inputs!$G$8</x:f>
        <x:v>41917.80821917808</x:v>
      </x:c>
      <x:c r="F76" s="30" t="n">
        <x:f>B76*Inputs!$G$6</x:f>
        <x:v>15000</x:v>
      </x:c>
      <x:c r="G76" t="str">
        <x:v>120 Days</x:v>
      </x:c>
      <x:c r="H76" s="28" t="n">
        <x:v>120</x:v>
      </x:c>
      <x:c r="I76" s="52" t="n">
        <x:f>Inputs!$G$7</x:f>
        <x:v>0.02</x:v>
      </x:c>
      <x:c r="J76" s="52" t="n">
        <x:f>I76/30</x:f>
        <x:v>0.0006666666666666666</x:v>
      </x:c>
      <x:c r="K76" s="52" t="n">
        <x:f>J76*H76</x:f>
        <x:v>0.08</x:v>
      </x:c>
      <x:c r="L76" s="30" t="n">
        <x:f>(B76+E76)*K76</x:f>
        <x:v>43353.42465753425</x:v>
      </x:c>
      <x:c r="M76" s="30" t="n">
        <x:f>E76</x:f>
        <x:v>41917.80821917808</x:v>
      </x:c>
      <x:c r="N76" s="30">
        <x:f>R76-C76-F76</x:f>
      </x:c>
      <x:c r="O76" s="20" t="str">
        <x:f>IF(ABS(D76-(Inputs!$G$4+Inputs!$B$4))&lt;0.000001,"Low Risk",IF(ABS(D76-(Inputs!$G$4+Inputs!$B$5))&lt;0.000001,"Moderate Risk",IF(ABS(D76-(Inputs!$G$4+Inputs!$B$6))&lt;0.000001,"High Risk","Worst Scenario")))</x:f>
        <x:v>Moderate Risk</x:v>
      </x:c>
      <x:c r="P76" s="28" t="n">
        <x:f>IF(A76="Purchase Order Funding",Inputs!$G$13,IF(B76=500000,180,IF(B76=750000,365,1095)))</x:f>
        <x:v>180</x:v>
      </x:c>
      <x:c r="Q76" s="20" t="n">
        <x:f>D76</x:f>
        <x:v>0.16999999999999998</x:v>
      </x:c>
      <x:c r="R76" s="30" t="n">
        <x:f>B76+C76+E76+F76+L76</x:f>
        <x:v>601271.2328767123</x:v>
      </x:c>
      <x:c r="S76" s="30" t="n">
        <x:f>(B76+E76)*J76</x:f>
        <x:v>361.27853881278537</x:v>
      </x:c>
      <x:c r="T76" s="30" t="n">
        <x:f>C76+E76+F76+L76</x:f>
        <x:v>101271.23287671233</x:v>
      </x:c>
      <x:c r="U76" s="30" t="n">
        <x:f>E76</x:f>
        <x:v>41917.80821917808</x:v>
      </x:c>
      <x:c r="V76" s="30" t="n">
        <x:f>C76</x:f>
        <x:v>1000</x:v>
      </x:c>
      <x:c r="W76" s="30" t="n">
        <x:f>F76</x:f>
        <x:v>15000</x:v>
      </x:c>
      <x:c r="X76" s="30" t="n">
        <x:f>L76</x:f>
        <x:v>43353.42465753425</x:v>
      </x:c>
      <x:c r="Y76" s="30" t="n">
        <x:f>SUM(U76:X76)</x:f>
        <x:v>101271.23287671233</x:v>
      </x:c>
    </x:row>
    <x:row r="77">
      <x:c r="A77" t="str">
        <x:v>Short Term Contract</x:v>
      </x:c>
      <x:c r="B77" s="30" t="n">
        <x:v>500000</x:v>
      </x:c>
      <x:c r="C77" s="30" t="n">
        <x:f>Inputs!$G$5</x:f>
        <x:v>1000</x:v>
      </x:c>
      <x:c r="D77" s="20" t="n">
        <x:f>Inputs!$G$4+VLOOKUP(M77,Inputs!$A$4:$B$7,2,FALSE)</x:f>
        <x:v>0.19</x:v>
      </x:c>
      <x:c r="E77" s="30" t="n">
        <x:f>B77*D77*N77/Inputs!$G$8</x:f>
        <x:v>46849.31506849315</x:v>
      </x:c>
      <x:c r="F77" s="30" t="n">
        <x:f>B77*Inputs!$G$6</x:f>
        <x:v>15000</x:v>
      </x:c>
      <x:c r="G77" t="str">
        <x:v>30 Days</x:v>
      </x:c>
      <x:c r="H77" s="28" t="n">
        <x:v>30</x:v>
      </x:c>
      <x:c r="I77" s="52" t="n">
        <x:f>Inputs!$G$7</x:f>
        <x:v>0.02</x:v>
      </x:c>
      <x:c r="J77" s="52" t="n">
        <x:f>I77/30</x:f>
        <x:v>0.0006666666666666666</x:v>
      </x:c>
      <x:c r="K77" s="52" t="n">
        <x:f>J77*H77</x:f>
        <x:v>0.02</x:v>
      </x:c>
      <x:c r="L77" s="30" t="n">
        <x:f>(B77+E77)*K77</x:f>
        <x:v>10936.986301369863</x:v>
      </x:c>
      <x:c r="M77" s="30" t="n">
        <x:f>E77</x:f>
        <x:v>46849.31506849315</x:v>
      </x:c>
      <x:c r="N77" s="30">
        <x:f>R77-C77-F77</x:f>
      </x:c>
      <x:c r="O77" s="20" t="str">
        <x:f>IF(ABS(D77-(Inputs!$G$4+Inputs!$B$4))&lt;0.000001,"Low Risk",IF(ABS(D77-(Inputs!$G$4+Inputs!$B$5))&lt;0.000001,"Moderate Risk",IF(ABS(D77-(Inputs!$G$4+Inputs!$B$6))&lt;0.000001,"High Risk","Worst Scenario")))</x:f>
        <x:v>High Risk</x:v>
      </x:c>
      <x:c r="P77" s="28" t="n">
        <x:f>IF(A77="Purchase Order Funding",Inputs!$G$13,IF(B77=500000,180,IF(B77=750000,365,1095)))</x:f>
        <x:v>180</x:v>
      </x:c>
      <x:c r="Q77" s="20" t="n">
        <x:f>D77</x:f>
        <x:v>0.19</x:v>
      </x:c>
      <x:c r="R77" s="30" t="n">
        <x:f>B77+C77+E77+F77+L77</x:f>
        <x:v>573786.301369863</x:v>
      </x:c>
      <x:c r="S77" s="30" t="n">
        <x:f>(B77+E77)*J77</x:f>
        <x:v>364.5662100456621</x:v>
      </x:c>
      <x:c r="T77" s="30" t="n">
        <x:f>C77+E77+F77+L77</x:f>
        <x:v>73786.30136986301</x:v>
      </x:c>
      <x:c r="U77" s="30" t="n">
        <x:f>E77</x:f>
        <x:v>46849.31506849315</x:v>
      </x:c>
      <x:c r="V77" s="30" t="n">
        <x:f>C77</x:f>
        <x:v>1000</x:v>
      </x:c>
      <x:c r="W77" s="30" t="n">
        <x:f>F77</x:f>
        <x:v>15000</x:v>
      </x:c>
      <x:c r="X77" s="30" t="n">
        <x:f>L77</x:f>
        <x:v>10936.986301369863</x:v>
      </x:c>
      <x:c r="Y77" s="30" t="n">
        <x:f>SUM(U77:X77)</x:f>
        <x:v>73786.30136986301</x:v>
      </x:c>
    </x:row>
    <x:row r="78">
      <x:c r="A78" t="str">
        <x:v>Short Term Contract</x:v>
      </x:c>
      <x:c r="B78" s="30" t="n">
        <x:v>500000</x:v>
      </x:c>
      <x:c r="C78" s="30" t="n">
        <x:f>Inputs!$G$5</x:f>
        <x:v>1000</x:v>
      </x:c>
      <x:c r="D78" s="20" t="n">
        <x:f>Inputs!$G$4+VLOOKUP(M78,Inputs!$A$4:$B$7,2,FALSE)</x:f>
        <x:v>0.19</x:v>
      </x:c>
      <x:c r="E78" s="30" t="n">
        <x:f>B78*D78*N78/Inputs!$G$8</x:f>
        <x:v>46849.31506849315</x:v>
      </x:c>
      <x:c r="F78" s="30" t="n">
        <x:f>B78*Inputs!$G$6</x:f>
        <x:v>15000</x:v>
      </x:c>
      <x:c r="G78" t="str">
        <x:v>60 Days</x:v>
      </x:c>
      <x:c r="H78" s="28" t="n">
        <x:v>60</x:v>
      </x:c>
      <x:c r="I78" s="52" t="n">
        <x:f>Inputs!$G$7</x:f>
        <x:v>0.02</x:v>
      </x:c>
      <x:c r="J78" s="52" t="n">
        <x:f>I78/30</x:f>
        <x:v>0.0006666666666666666</x:v>
      </x:c>
      <x:c r="K78" s="52" t="n">
        <x:f>J78*H78</x:f>
        <x:v>0.04</x:v>
      </x:c>
      <x:c r="L78" s="30" t="n">
        <x:f>(B78+E78)*K78</x:f>
        <x:v>21873.972602739726</x:v>
      </x:c>
      <x:c r="M78" s="30" t="n">
        <x:f>E78</x:f>
        <x:v>46849.31506849315</x:v>
      </x:c>
      <x:c r="N78" s="30">
        <x:f>R78-C78-F78</x:f>
      </x:c>
      <x:c r="O78" s="20" t="str">
        <x:f>IF(ABS(D78-(Inputs!$G$4+Inputs!$B$4))&lt;0.000001,"Low Risk",IF(ABS(D78-(Inputs!$G$4+Inputs!$B$5))&lt;0.000001,"Moderate Risk",IF(ABS(D78-(Inputs!$G$4+Inputs!$B$6))&lt;0.000001,"High Risk","Worst Scenario")))</x:f>
        <x:v>High Risk</x:v>
      </x:c>
      <x:c r="P78" s="28" t="n">
        <x:f>IF(A78="Purchase Order Funding",Inputs!$G$13,IF(B78=500000,180,IF(B78=750000,365,1095)))</x:f>
        <x:v>180</x:v>
      </x:c>
      <x:c r="Q78" s="20" t="n">
        <x:f>D78</x:f>
        <x:v>0.19</x:v>
      </x:c>
      <x:c r="R78" s="30" t="n">
        <x:f>B78+C78+E78+F78+L78</x:f>
        <x:v>584723.2876712328</x:v>
      </x:c>
      <x:c r="S78" s="30" t="n">
        <x:f>(B78+E78)*J78</x:f>
        <x:v>364.5662100456621</x:v>
      </x:c>
      <x:c r="T78" s="30" t="n">
        <x:f>C78+E78+F78+L78</x:f>
        <x:v>84723.28767123289</x:v>
      </x:c>
      <x:c r="U78" s="30" t="n">
        <x:f>E78</x:f>
        <x:v>46849.31506849315</x:v>
      </x:c>
      <x:c r="V78" s="30" t="n">
        <x:f>C78</x:f>
        <x:v>1000</x:v>
      </x:c>
      <x:c r="W78" s="30" t="n">
        <x:f>F78</x:f>
        <x:v>15000</x:v>
      </x:c>
      <x:c r="X78" s="30" t="n">
        <x:f>L78</x:f>
        <x:v>21873.972602739726</x:v>
      </x:c>
      <x:c r="Y78" s="30" t="n">
        <x:f>SUM(U78:X78)</x:f>
        <x:v>84723.28767123289</x:v>
      </x:c>
    </x:row>
    <x:row r="79">
      <x:c r="A79" t="str">
        <x:v>Short Term Contract</x:v>
      </x:c>
      <x:c r="B79" s="30" t="n">
        <x:v>500000</x:v>
      </x:c>
      <x:c r="C79" s="30" t="n">
        <x:f>Inputs!$G$5</x:f>
        <x:v>1000</x:v>
      </x:c>
      <x:c r="D79" s="20" t="n">
        <x:f>Inputs!$G$4+VLOOKUP(M79,Inputs!$A$4:$B$7,2,FALSE)</x:f>
        <x:v>0.19</x:v>
      </x:c>
      <x:c r="E79" s="30" t="n">
        <x:f>B79*D79*N79/Inputs!$G$8</x:f>
        <x:v>46849.31506849315</x:v>
      </x:c>
      <x:c r="F79" s="30" t="n">
        <x:f>B79*Inputs!$G$6</x:f>
        <x:v>15000</x:v>
      </x:c>
      <x:c r="G79" t="str">
        <x:v>90 Days</x:v>
      </x:c>
      <x:c r="H79" s="28" t="n">
        <x:v>90</x:v>
      </x:c>
      <x:c r="I79" s="52" t="n">
        <x:f>Inputs!$G$7</x:f>
        <x:v>0.02</x:v>
      </x:c>
      <x:c r="J79" s="52" t="n">
        <x:f>I79/30</x:f>
        <x:v>0.0006666666666666666</x:v>
      </x:c>
      <x:c r="K79" s="52" t="n">
        <x:f>J79*H79</x:f>
        <x:v>0.06</x:v>
      </x:c>
      <x:c r="L79" s="30" t="n">
        <x:f>(B79+E79)*K79</x:f>
        <x:v>32810.95890410959</x:v>
      </x:c>
      <x:c r="M79" s="30" t="n">
        <x:f>E79</x:f>
        <x:v>46849.31506849315</x:v>
      </x:c>
      <x:c r="N79" s="30">
        <x:f>R79-C79-F79</x:f>
      </x:c>
      <x:c r="O79" s="20" t="str">
        <x:f>IF(ABS(D79-(Inputs!$G$4+Inputs!$B$4))&lt;0.000001,"Low Risk",IF(ABS(D79-(Inputs!$G$4+Inputs!$B$5))&lt;0.000001,"Moderate Risk",IF(ABS(D79-(Inputs!$G$4+Inputs!$B$6))&lt;0.000001,"High Risk","Worst Scenario")))</x:f>
        <x:v>High Risk</x:v>
      </x:c>
      <x:c r="P79" s="28" t="n">
        <x:f>IF(A79="Purchase Order Funding",Inputs!$G$13,IF(B79=500000,180,IF(B79=750000,365,1095)))</x:f>
        <x:v>180</x:v>
      </x:c>
      <x:c r="Q79" s="20" t="n">
        <x:f>D79</x:f>
        <x:v>0.19</x:v>
      </x:c>
      <x:c r="R79" s="30" t="n">
        <x:f>B79+C79+E79+F79+L79</x:f>
        <x:v>595660.2739726027</x:v>
      </x:c>
      <x:c r="S79" s="30" t="n">
        <x:f>(B79+E79)*J79</x:f>
        <x:v>364.5662100456621</x:v>
      </x:c>
      <x:c r="T79" s="30" t="n">
        <x:f>C79+E79+F79+L79</x:f>
        <x:v>95660.27397260274</x:v>
      </x:c>
      <x:c r="U79" s="30" t="n">
        <x:f>E79</x:f>
        <x:v>46849.31506849315</x:v>
      </x:c>
      <x:c r="V79" s="30" t="n">
        <x:f>C79</x:f>
        <x:v>1000</x:v>
      </x:c>
      <x:c r="W79" s="30" t="n">
        <x:f>F79</x:f>
        <x:v>15000</x:v>
      </x:c>
      <x:c r="X79" s="30" t="n">
        <x:f>L79</x:f>
        <x:v>32810.95890410959</x:v>
      </x:c>
      <x:c r="Y79" s="30" t="n">
        <x:f>SUM(U79:X79)</x:f>
        <x:v>95660.27397260274</x:v>
      </x:c>
    </x:row>
    <x:row r="80">
      <x:c r="A80" t="str">
        <x:v>Short Term Contract</x:v>
      </x:c>
      <x:c r="B80" s="30" t="n">
        <x:v>500000</x:v>
      </x:c>
      <x:c r="C80" s="30" t="n">
        <x:f>Inputs!$G$5</x:f>
        <x:v>1000</x:v>
      </x:c>
      <x:c r="D80" s="20" t="n">
        <x:f>Inputs!$G$4+VLOOKUP(M80,Inputs!$A$4:$B$7,2,FALSE)</x:f>
        <x:v>0.19</x:v>
      </x:c>
      <x:c r="E80" s="30" t="n">
        <x:f>B80*D80*N80/Inputs!$G$8</x:f>
        <x:v>46849.31506849315</x:v>
      </x:c>
      <x:c r="F80" s="30" t="n">
        <x:f>B80*Inputs!$G$6</x:f>
        <x:v>15000</x:v>
      </x:c>
      <x:c r="G80" t="str">
        <x:v>120 Days</x:v>
      </x:c>
      <x:c r="H80" s="28" t="n">
        <x:v>120</x:v>
      </x:c>
      <x:c r="I80" s="52" t="n">
        <x:f>Inputs!$G$7</x:f>
        <x:v>0.02</x:v>
      </x:c>
      <x:c r="J80" s="52" t="n">
        <x:f>I80/30</x:f>
        <x:v>0.0006666666666666666</x:v>
      </x:c>
      <x:c r="K80" s="52" t="n">
        <x:f>J80*H80</x:f>
        <x:v>0.08</x:v>
      </x:c>
      <x:c r="L80" s="30" t="n">
        <x:f>(B80+E80)*K80</x:f>
        <x:v>43747.94520547945</x:v>
      </x:c>
      <x:c r="M80" s="30" t="n">
        <x:f>E80</x:f>
        <x:v>46849.31506849315</x:v>
      </x:c>
      <x:c r="N80" s="30">
        <x:f>R80-C80-F80</x:f>
      </x:c>
      <x:c r="O80" s="20" t="str">
        <x:f>IF(ABS(D80-(Inputs!$G$4+Inputs!$B$4))&lt;0.000001,"Low Risk",IF(ABS(D80-(Inputs!$G$4+Inputs!$B$5))&lt;0.000001,"Moderate Risk",IF(ABS(D80-(Inputs!$G$4+Inputs!$B$6))&lt;0.000001,"High Risk","Worst Scenario")))</x:f>
        <x:v>High Risk</x:v>
      </x:c>
      <x:c r="P80" s="28" t="n">
        <x:f>IF(A80="Purchase Order Funding",Inputs!$G$13,IF(B80=500000,180,IF(B80=750000,365,1095)))</x:f>
        <x:v>180</x:v>
      </x:c>
      <x:c r="Q80" s="20" t="n">
        <x:f>D80</x:f>
        <x:v>0.19</x:v>
      </x:c>
      <x:c r="R80" s="30" t="n">
        <x:f>B80+C80+E80+F80+L80</x:f>
        <x:v>606597.2602739725</x:v>
      </x:c>
      <x:c r="S80" s="30" t="n">
        <x:f>(B80+E80)*J80</x:f>
        <x:v>364.5662100456621</x:v>
      </x:c>
      <x:c r="T80" s="30" t="n">
        <x:f>C80+E80+F80+L80</x:f>
        <x:v>106597.26027397261</x:v>
      </x:c>
      <x:c r="U80" s="30" t="n">
        <x:f>E80</x:f>
        <x:v>46849.31506849315</x:v>
      </x:c>
      <x:c r="V80" s="30" t="n">
        <x:f>C80</x:f>
        <x:v>1000</x:v>
      </x:c>
      <x:c r="W80" s="30" t="n">
        <x:f>F80</x:f>
        <x:v>15000</x:v>
      </x:c>
      <x:c r="X80" s="30" t="n">
        <x:f>L80</x:f>
        <x:v>43747.94520547945</x:v>
      </x:c>
      <x:c r="Y80" s="30" t="n">
        <x:f>SUM(U80:X80)</x:f>
        <x:v>106597.26027397261</x:v>
      </x:c>
    </x:row>
    <x:row r="81">
      <x:c r="A81" t="str">
        <x:v>Short Term Contract</x:v>
      </x:c>
      <x:c r="B81" s="30" t="n">
        <x:v>500000</x:v>
      </x:c>
      <x:c r="C81" s="30" t="n">
        <x:f>Inputs!$G$5</x:f>
        <x:v>1000</x:v>
      </x:c>
      <x:c r="D81" s="20" t="n">
        <x:f>Inputs!$G$4+VLOOKUP(M81,Inputs!$A$4:$B$7,2,FALSE)</x:f>
        <x:v>0.21</x:v>
      </x:c>
      <x:c r="E81" s="30" t="n">
        <x:f>B81*D81*N81/Inputs!$G$8</x:f>
        <x:v>51780.82191780822</x:v>
      </x:c>
      <x:c r="F81" s="30" t="n">
        <x:f>B81*Inputs!$G$6</x:f>
        <x:v>15000</x:v>
      </x:c>
      <x:c r="G81" t="str">
        <x:v>30 Days</x:v>
      </x:c>
      <x:c r="H81" s="28" t="n">
        <x:v>30</x:v>
      </x:c>
      <x:c r="I81" s="52" t="n">
        <x:f>Inputs!$G$7</x:f>
        <x:v>0.02</x:v>
      </x:c>
      <x:c r="J81" s="52" t="n">
        <x:f>I81/30</x:f>
        <x:v>0.0006666666666666666</x:v>
      </x:c>
      <x:c r="K81" s="52" t="n">
        <x:f>J81*H81</x:f>
        <x:v>0.02</x:v>
      </x:c>
      <x:c r="L81" s="30" t="n">
        <x:f>(B81+E81)*K81</x:f>
        <x:v>11035.616438356166</x:v>
      </x:c>
      <x:c r="M81" s="30" t="n">
        <x:f>E81</x:f>
        <x:v>51780.82191780822</x:v>
      </x:c>
      <x:c r="N81" s="30">
        <x:f>R81-C81-F81</x:f>
      </x:c>
      <x:c r="O81" s="20" t="str">
        <x:f>IF(ABS(D81-(Inputs!$G$4+Inputs!$B$4))&lt;0.000001,"Low Risk",IF(ABS(D81-(Inputs!$G$4+Inputs!$B$5))&lt;0.000001,"Moderate Risk",IF(ABS(D81-(Inputs!$G$4+Inputs!$B$6))&lt;0.000001,"High Risk","Worst Scenario")))</x:f>
        <x:v>Worst Scenario</x:v>
      </x:c>
      <x:c r="P81" s="28" t="n">
        <x:f>IF(A81="Purchase Order Funding",Inputs!$G$13,IF(B81=500000,180,IF(B81=750000,365,1095)))</x:f>
        <x:v>180</x:v>
      </x:c>
      <x:c r="Q81" s="20" t="n">
        <x:f>D81</x:f>
        <x:v>0.21</x:v>
      </x:c>
      <x:c r="R81" s="30" t="n">
        <x:f>B81+C81+E81+F81+L81</x:f>
        <x:v>578816.4383561644</x:v>
      </x:c>
      <x:c r="S81" s="30" t="n">
        <x:f>(B81+E81)*J81</x:f>
        <x:v>367.85388127853884</x:v>
      </x:c>
      <x:c r="T81" s="30" t="n">
        <x:f>C81+E81+F81+L81</x:f>
        <x:v>78816.43835616439</x:v>
      </x:c>
      <x:c r="U81" s="30" t="n">
        <x:f>E81</x:f>
        <x:v>51780.82191780822</x:v>
      </x:c>
      <x:c r="V81" s="30" t="n">
        <x:f>C81</x:f>
        <x:v>1000</x:v>
      </x:c>
      <x:c r="W81" s="30" t="n">
        <x:f>F81</x:f>
        <x:v>15000</x:v>
      </x:c>
      <x:c r="X81" s="30" t="n">
        <x:f>L81</x:f>
        <x:v>11035.616438356166</x:v>
      </x:c>
      <x:c r="Y81" s="30" t="n">
        <x:f>SUM(U81:X81)</x:f>
        <x:v>78816.43835616439</x:v>
      </x:c>
    </x:row>
    <x:row r="82">
      <x:c r="A82" t="str">
        <x:v>Short Term Contract</x:v>
      </x:c>
      <x:c r="B82" s="30" t="n">
        <x:v>500000</x:v>
      </x:c>
      <x:c r="C82" s="30" t="n">
        <x:f>Inputs!$G$5</x:f>
        <x:v>1000</x:v>
      </x:c>
      <x:c r="D82" s="20" t="n">
        <x:f>Inputs!$G$4+VLOOKUP(M82,Inputs!$A$4:$B$7,2,FALSE)</x:f>
        <x:v>0.21</x:v>
      </x:c>
      <x:c r="E82" s="30" t="n">
        <x:f>B82*D82*N82/Inputs!$G$8</x:f>
        <x:v>51780.82191780822</x:v>
      </x:c>
      <x:c r="F82" s="30" t="n">
        <x:f>B82*Inputs!$G$6</x:f>
        <x:v>15000</x:v>
      </x:c>
      <x:c r="G82" t="str">
        <x:v>60 Days</x:v>
      </x:c>
      <x:c r="H82" s="28" t="n">
        <x:v>60</x:v>
      </x:c>
      <x:c r="I82" s="52" t="n">
        <x:f>Inputs!$G$7</x:f>
        <x:v>0.02</x:v>
      </x:c>
      <x:c r="J82" s="52" t="n">
        <x:f>I82/30</x:f>
        <x:v>0.0006666666666666666</x:v>
      </x:c>
      <x:c r="K82" s="52" t="n">
        <x:f>J82*H82</x:f>
        <x:v>0.04</x:v>
      </x:c>
      <x:c r="L82" s="30" t="n">
        <x:f>(B82+E82)*K82</x:f>
        <x:v>22071.232876712333</x:v>
      </x:c>
      <x:c r="M82" s="30" t="n">
        <x:f>E82</x:f>
        <x:v>51780.82191780822</x:v>
      </x:c>
      <x:c r="N82" s="30">
        <x:f>R82-C82-F82</x:f>
      </x:c>
      <x:c r="O82" s="20" t="str">
        <x:f>IF(ABS(D82-(Inputs!$G$4+Inputs!$B$4))&lt;0.000001,"Low Risk",IF(ABS(D82-(Inputs!$G$4+Inputs!$B$5))&lt;0.000001,"Moderate Risk",IF(ABS(D82-(Inputs!$G$4+Inputs!$B$6))&lt;0.000001,"High Risk","Worst Scenario")))</x:f>
        <x:v>Worst Scenario</x:v>
      </x:c>
      <x:c r="P82" s="28" t="n">
        <x:f>IF(A82="Purchase Order Funding",Inputs!$G$13,IF(B82=500000,180,IF(B82=750000,365,1095)))</x:f>
        <x:v>180</x:v>
      </x:c>
      <x:c r="Q82" s="20" t="n">
        <x:f>D82</x:f>
        <x:v>0.21</x:v>
      </x:c>
      <x:c r="R82" s="30" t="n">
        <x:f>B82+C82+E82+F82+L82</x:f>
        <x:v>589852.0547945206</x:v>
      </x:c>
      <x:c r="S82" s="30" t="n">
        <x:f>(B82+E82)*J82</x:f>
        <x:v>367.85388127853884</x:v>
      </x:c>
      <x:c r="T82" s="30" t="n">
        <x:f>C82+E82+F82+L82</x:f>
        <x:v>89852.05479452055</x:v>
      </x:c>
      <x:c r="U82" s="30" t="n">
        <x:f>E82</x:f>
        <x:v>51780.82191780822</x:v>
      </x:c>
      <x:c r="V82" s="30" t="n">
        <x:f>C82</x:f>
        <x:v>1000</x:v>
      </x:c>
      <x:c r="W82" s="30" t="n">
        <x:f>F82</x:f>
        <x:v>15000</x:v>
      </x:c>
      <x:c r="X82" s="30" t="n">
        <x:f>L82</x:f>
        <x:v>22071.232876712333</x:v>
      </x:c>
      <x:c r="Y82" s="30" t="n">
        <x:f>SUM(U82:X82)</x:f>
        <x:v>89852.05479452055</x:v>
      </x:c>
    </x:row>
    <x:row r="83">
      <x:c r="A83" t="str">
        <x:v>Short Term Contract</x:v>
      </x:c>
      <x:c r="B83" s="30" t="n">
        <x:v>500000</x:v>
      </x:c>
      <x:c r="C83" s="30" t="n">
        <x:f>Inputs!$G$5</x:f>
        <x:v>1000</x:v>
      </x:c>
      <x:c r="D83" s="20" t="n">
        <x:f>Inputs!$G$4+VLOOKUP(M83,Inputs!$A$4:$B$7,2,FALSE)</x:f>
        <x:v>0.21</x:v>
      </x:c>
      <x:c r="E83" s="30" t="n">
        <x:f>B83*D83*N83/Inputs!$G$8</x:f>
        <x:v>51780.82191780822</x:v>
      </x:c>
      <x:c r="F83" s="30" t="n">
        <x:f>B83*Inputs!$G$6</x:f>
        <x:v>15000</x:v>
      </x:c>
      <x:c r="G83" t="str">
        <x:v>90 Days</x:v>
      </x:c>
      <x:c r="H83" s="28" t="n">
        <x:v>90</x:v>
      </x:c>
      <x:c r="I83" s="52" t="n">
        <x:f>Inputs!$G$7</x:f>
        <x:v>0.02</x:v>
      </x:c>
      <x:c r="J83" s="52" t="n">
        <x:f>I83/30</x:f>
        <x:v>0.0006666666666666666</x:v>
      </x:c>
      <x:c r="K83" s="52" t="n">
        <x:f>J83*H83</x:f>
        <x:v>0.06</x:v>
      </x:c>
      <x:c r="L83" s="30" t="n">
        <x:f>(B83+E83)*K83</x:f>
        <x:v>33106.849315068495</x:v>
      </x:c>
      <x:c r="M83" s="30" t="n">
        <x:f>E83</x:f>
        <x:v>51780.82191780822</x:v>
      </x:c>
      <x:c r="N83" s="30">
        <x:f>R83-C83-F83</x:f>
      </x:c>
      <x:c r="O83" s="20" t="str">
        <x:f>IF(ABS(D83-(Inputs!$G$4+Inputs!$B$4))&lt;0.000001,"Low Risk",IF(ABS(D83-(Inputs!$G$4+Inputs!$B$5))&lt;0.000001,"Moderate Risk",IF(ABS(D83-(Inputs!$G$4+Inputs!$B$6))&lt;0.000001,"High Risk","Worst Scenario")))</x:f>
        <x:v>Worst Scenario</x:v>
      </x:c>
      <x:c r="P83" s="28" t="n">
        <x:f>IF(A83="Purchase Order Funding",Inputs!$G$13,IF(B83=500000,180,IF(B83=750000,365,1095)))</x:f>
        <x:v>180</x:v>
      </x:c>
      <x:c r="Q83" s="20" t="n">
        <x:f>D83</x:f>
        <x:v>0.21</x:v>
      </x:c>
      <x:c r="R83" s="30" t="n">
        <x:f>B83+C83+E83+F83+L83</x:f>
        <x:v>600887.6712328767</x:v>
      </x:c>
      <x:c r="S83" s="30" t="n">
        <x:f>(B83+E83)*J83</x:f>
        <x:v>367.85388127853884</x:v>
      </x:c>
      <x:c r="T83" s="30" t="n">
        <x:f>C83+E83+F83+L83</x:f>
        <x:v>100887.67123287672</x:v>
      </x:c>
      <x:c r="U83" s="30" t="n">
        <x:f>E83</x:f>
        <x:v>51780.82191780822</x:v>
      </x:c>
      <x:c r="V83" s="30" t="n">
        <x:f>C83</x:f>
        <x:v>1000</x:v>
      </x:c>
      <x:c r="W83" s="30" t="n">
        <x:f>F83</x:f>
        <x:v>15000</x:v>
      </x:c>
      <x:c r="X83" s="30" t="n">
        <x:f>L83</x:f>
        <x:v>33106.849315068495</x:v>
      </x:c>
      <x:c r="Y83" s="30" t="n">
        <x:f>SUM(U83:X83)</x:f>
        <x:v>100887.67123287672</x:v>
      </x:c>
    </x:row>
    <x:row r="84">
      <x:c r="A84" t="str">
        <x:v>Short Term Contract</x:v>
      </x:c>
      <x:c r="B84" s="30" t="n">
        <x:v>500000</x:v>
      </x:c>
      <x:c r="C84" s="30" t="n">
        <x:f>Inputs!$G$5</x:f>
        <x:v>1000</x:v>
      </x:c>
      <x:c r="D84" s="20" t="n">
        <x:f>Inputs!$G$4+VLOOKUP(M84,Inputs!$A$4:$B$7,2,FALSE)</x:f>
        <x:v>0.21</x:v>
      </x:c>
      <x:c r="E84" s="30" t="n">
        <x:f>B84*D84*N84/Inputs!$G$8</x:f>
        <x:v>51780.82191780822</x:v>
      </x:c>
      <x:c r="F84" s="30" t="n">
        <x:f>B84*Inputs!$G$6</x:f>
        <x:v>15000</x:v>
      </x:c>
      <x:c r="G84" t="str">
        <x:v>120 Days</x:v>
      </x:c>
      <x:c r="H84" s="28" t="n">
        <x:v>120</x:v>
      </x:c>
      <x:c r="I84" s="52" t="n">
        <x:f>Inputs!$G$7</x:f>
        <x:v>0.02</x:v>
      </x:c>
      <x:c r="J84" s="52" t="n">
        <x:f>I84/30</x:f>
        <x:v>0.0006666666666666666</x:v>
      </x:c>
      <x:c r="K84" s="52" t="n">
        <x:f>J84*H84</x:f>
        <x:v>0.08</x:v>
      </x:c>
      <x:c r="L84" s="30" t="n">
        <x:f>(B84+E84)*K84</x:f>
        <x:v>44142.465753424665</x:v>
      </x:c>
      <x:c r="M84" s="30" t="n">
        <x:f>E84</x:f>
        <x:v>51780.82191780822</x:v>
      </x:c>
      <x:c r="N84" s="30">
        <x:f>R84-C84-F84</x:f>
      </x:c>
      <x:c r="O84" s="20" t="str">
        <x:f>IF(ABS(D84-(Inputs!$G$4+Inputs!$B$4))&lt;0.000001,"Low Risk",IF(ABS(D84-(Inputs!$G$4+Inputs!$B$5))&lt;0.000001,"Moderate Risk",IF(ABS(D84-(Inputs!$G$4+Inputs!$B$6))&lt;0.000001,"High Risk","Worst Scenario")))</x:f>
        <x:v>Worst Scenario</x:v>
      </x:c>
      <x:c r="P84" s="28" t="n">
        <x:f>IF(A84="Purchase Order Funding",Inputs!$G$13,IF(B84=500000,180,IF(B84=750000,365,1095)))</x:f>
        <x:v>180</x:v>
      </x:c>
      <x:c r="Q84" s="20" t="n">
        <x:f>D84</x:f>
        <x:v>0.21</x:v>
      </x:c>
      <x:c r="R84" s="30" t="n">
        <x:f>B84+C84+E84+F84+L84</x:f>
        <x:v>611923.287671233</x:v>
      </x:c>
      <x:c r="S84" s="30" t="n">
        <x:f>(B84+E84)*J84</x:f>
        <x:v>367.85388127853884</x:v>
      </x:c>
      <x:c r="T84" s="30" t="n">
        <x:f>C84+E84+F84+L84</x:f>
        <x:v>111923.28767123289</x:v>
      </x:c>
      <x:c r="U84" s="30" t="n">
        <x:f>E84</x:f>
        <x:v>51780.82191780822</x:v>
      </x:c>
      <x:c r="V84" s="30" t="n">
        <x:f>C84</x:f>
        <x:v>1000</x:v>
      </x:c>
      <x:c r="W84" s="30" t="n">
        <x:f>F84</x:f>
        <x:v>15000</x:v>
      </x:c>
      <x:c r="X84" s="30" t="n">
        <x:f>L84</x:f>
        <x:v>44142.465753424665</x:v>
      </x:c>
      <x:c r="Y84" s="30" t="n">
        <x:f>SUM(U84:X84)</x:f>
        <x:v>111923.28767123289</x:v>
      </x:c>
    </x:row>
    <x:row r="85">
      <x:c r="A85" t="str">
        <x:v>Short Term Contract</x:v>
      </x:c>
      <x:c r="B85" s="30" t="n">
        <x:v>500000</x:v>
      </x:c>
      <x:c r="C85" s="30" t="n">
        <x:f>Inputs!$G$5</x:f>
        <x:v>1000</x:v>
      </x:c>
      <x:c r="D85" s="20" t="n">
        <x:f>Inputs!$G$4+VLOOKUP(M85,Inputs!$A$4:$B$7,2,FALSE)</x:f>
        <x:v>0.155</x:v>
      </x:c>
      <x:c r="E85" s="30" t="n">
        <x:f>B85*D85*N85/Inputs!$G$8</x:f>
        <x:v>77500</x:v>
      </x:c>
      <x:c r="F85" s="30" t="n">
        <x:f>B85*Inputs!$G$6</x:f>
        <x:v>15000</x:v>
      </x:c>
      <x:c r="G85" t="str">
        <x:v>30 Days</x:v>
      </x:c>
      <x:c r="H85" s="28" t="n">
        <x:v>30</x:v>
      </x:c>
      <x:c r="I85" s="52" t="n">
        <x:f>Inputs!$G$7</x:f>
        <x:v>0.02</x:v>
      </x:c>
      <x:c r="J85" s="52" t="n">
        <x:f>I85/30</x:f>
        <x:v>0.0006666666666666666</x:v>
      </x:c>
      <x:c r="K85" s="52" t="n">
        <x:f>J85*H85</x:f>
        <x:v>0.02</x:v>
      </x:c>
      <x:c r="L85" s="30" t="n">
        <x:f>(B85+E85)*K85</x:f>
        <x:v>11550</x:v>
      </x:c>
      <x:c r="M85" s="30" t="n">
        <x:f>E85</x:f>
        <x:v>77500</x:v>
      </x:c>
      <x:c r="N85" s="30">
        <x:f>R85-C85-F85</x:f>
      </x:c>
      <x:c r="O85" s="20" t="str">
        <x:f>IF(ABS(D85-(Inputs!$G$4+Inputs!$B$4))&lt;0.000001,"Low Risk",IF(ABS(D85-(Inputs!$G$4+Inputs!$B$5))&lt;0.000001,"Moderate Risk",IF(ABS(D85-(Inputs!$G$4+Inputs!$B$6))&lt;0.000001,"High Risk","Worst Scenario")))</x:f>
        <x:v>Low Risk</x:v>
      </x:c>
      <x:c r="P85" s="28" t="n">
        <x:f>IF(A85="Purchase Order Funding",Inputs!$G$13,IF(B85=500000,180,IF(B85=750000,365,1095)))</x:f>
        <x:v>180</x:v>
      </x:c>
      <x:c r="Q85" s="20" t="n">
        <x:f>D85</x:f>
        <x:v>0.155</x:v>
      </x:c>
      <x:c r="R85" s="30" t="n">
        <x:f>B85+C85+E85+F85+L85</x:f>
        <x:v>605050</x:v>
      </x:c>
      <x:c r="S85" s="30" t="n">
        <x:f>(B85+E85)*J85</x:f>
        <x:v>385</x:v>
      </x:c>
      <x:c r="T85" s="30" t="n">
        <x:f>C85+E85+F85+L85</x:f>
        <x:v>105050</x:v>
      </x:c>
      <x:c r="U85" s="30" t="n">
        <x:f>E85</x:f>
        <x:v>77500</x:v>
      </x:c>
      <x:c r="V85" s="30" t="n">
        <x:f>C85</x:f>
        <x:v>1000</x:v>
      </x:c>
      <x:c r="W85" s="30" t="n">
        <x:f>F85</x:f>
        <x:v>15000</x:v>
      </x:c>
      <x:c r="X85" s="30" t="n">
        <x:f>L85</x:f>
        <x:v>11550</x:v>
      </x:c>
      <x:c r="Y85" s="30" t="n">
        <x:f>SUM(U85:X85)</x:f>
        <x:v>105050</x:v>
      </x:c>
    </x:row>
    <x:row r="86">
      <x:c r="A86" t="str">
        <x:v>Short Term Contract</x:v>
      </x:c>
      <x:c r="B86" s="30" t="n">
        <x:v>500000</x:v>
      </x:c>
      <x:c r="C86" s="30" t="n">
        <x:f>Inputs!$G$5</x:f>
        <x:v>1000</x:v>
      </x:c>
      <x:c r="D86" s="20" t="n">
        <x:f>Inputs!$G$4+VLOOKUP(M86,Inputs!$A$4:$B$7,2,FALSE)</x:f>
        <x:v>0.155</x:v>
      </x:c>
      <x:c r="E86" s="30" t="n">
        <x:f>B86*D86*N86/Inputs!$G$8</x:f>
        <x:v>77500</x:v>
      </x:c>
      <x:c r="F86" s="30" t="n">
        <x:f>B86*Inputs!$G$6</x:f>
        <x:v>15000</x:v>
      </x:c>
      <x:c r="G86" t="str">
        <x:v>60 Days</x:v>
      </x:c>
      <x:c r="H86" s="28" t="n">
        <x:v>60</x:v>
      </x:c>
      <x:c r="I86" s="52" t="n">
        <x:f>Inputs!$G$7</x:f>
        <x:v>0.02</x:v>
      </x:c>
      <x:c r="J86" s="52" t="n">
        <x:f>I86/30</x:f>
        <x:v>0.0006666666666666666</x:v>
      </x:c>
      <x:c r="K86" s="52" t="n">
        <x:f>J86*H86</x:f>
        <x:v>0.04</x:v>
      </x:c>
      <x:c r="L86" s="30" t="n">
        <x:f>(B86+E86)*K86</x:f>
        <x:v>23100</x:v>
      </x:c>
      <x:c r="M86" s="30" t="n">
        <x:f>E86</x:f>
        <x:v>77500</x:v>
      </x:c>
      <x:c r="N86" s="30">
        <x:f>R86-C86-F86</x:f>
      </x:c>
      <x:c r="O86" s="20" t="str">
        <x:f>IF(ABS(D86-(Inputs!$G$4+Inputs!$B$4))&lt;0.000001,"Low Risk",IF(ABS(D86-(Inputs!$G$4+Inputs!$B$5))&lt;0.000001,"Moderate Risk",IF(ABS(D86-(Inputs!$G$4+Inputs!$B$6))&lt;0.000001,"High Risk","Worst Scenario")))</x:f>
        <x:v>Low Risk</x:v>
      </x:c>
      <x:c r="P86" s="28" t="n">
        <x:f>IF(A86="Purchase Order Funding",Inputs!$G$13,IF(B86=500000,180,IF(B86=750000,365,1095)))</x:f>
        <x:v>180</x:v>
      </x:c>
      <x:c r="Q86" s="20" t="n">
        <x:f>D86</x:f>
        <x:v>0.155</x:v>
      </x:c>
      <x:c r="R86" s="30" t="n">
        <x:f>B86+C86+E86+F86+L86</x:f>
        <x:v>616600</x:v>
      </x:c>
      <x:c r="S86" s="30" t="n">
        <x:f>(B86+E86)*J86</x:f>
        <x:v>385</x:v>
      </x:c>
      <x:c r="T86" s="30" t="n">
        <x:f>C86+E86+F86+L86</x:f>
        <x:v>116600</x:v>
      </x:c>
      <x:c r="U86" s="30" t="n">
        <x:f>E86</x:f>
        <x:v>77500</x:v>
      </x:c>
      <x:c r="V86" s="30" t="n">
        <x:f>C86</x:f>
        <x:v>1000</x:v>
      </x:c>
      <x:c r="W86" s="30" t="n">
        <x:f>F86</x:f>
        <x:v>15000</x:v>
      </x:c>
      <x:c r="X86" s="30" t="n">
        <x:f>L86</x:f>
        <x:v>23100</x:v>
      </x:c>
      <x:c r="Y86" s="30" t="n">
        <x:f>SUM(U86:X86)</x:f>
        <x:v>116600</x:v>
      </x:c>
    </x:row>
    <x:row r="87">
      <x:c r="A87" t="str">
        <x:v>Short Term Contract</x:v>
      </x:c>
      <x:c r="B87" s="30" t="n">
        <x:v>500000</x:v>
      </x:c>
      <x:c r="C87" s="30" t="n">
        <x:f>Inputs!$G$5</x:f>
        <x:v>1000</x:v>
      </x:c>
      <x:c r="D87" s="20" t="n">
        <x:f>Inputs!$G$4+VLOOKUP(M87,Inputs!$A$4:$B$7,2,FALSE)</x:f>
        <x:v>0.155</x:v>
      </x:c>
      <x:c r="E87" s="30" t="n">
        <x:f>B87*D87*N87/Inputs!$G$8</x:f>
        <x:v>77500</x:v>
      </x:c>
      <x:c r="F87" s="30" t="n">
        <x:f>B87*Inputs!$G$6</x:f>
        <x:v>15000</x:v>
      </x:c>
      <x:c r="G87" t="str">
        <x:v>90 Days</x:v>
      </x:c>
      <x:c r="H87" s="28" t="n">
        <x:v>90</x:v>
      </x:c>
      <x:c r="I87" s="52" t="n">
        <x:f>Inputs!$G$7</x:f>
        <x:v>0.02</x:v>
      </x:c>
      <x:c r="J87" s="52" t="n">
        <x:f>I87/30</x:f>
        <x:v>0.0006666666666666666</x:v>
      </x:c>
      <x:c r="K87" s="52" t="n">
        <x:f>J87*H87</x:f>
        <x:v>0.06</x:v>
      </x:c>
      <x:c r="L87" s="30" t="n">
        <x:f>(B87+E87)*K87</x:f>
        <x:v>34650</x:v>
      </x:c>
      <x:c r="M87" s="30" t="n">
        <x:f>E87</x:f>
        <x:v>77500</x:v>
      </x:c>
      <x:c r="N87" s="30">
        <x:f>R87-C87-F87</x:f>
      </x:c>
      <x:c r="O87" s="20" t="str">
        <x:f>IF(ABS(D87-(Inputs!$G$4+Inputs!$B$4))&lt;0.000001,"Low Risk",IF(ABS(D87-(Inputs!$G$4+Inputs!$B$5))&lt;0.000001,"Moderate Risk",IF(ABS(D87-(Inputs!$G$4+Inputs!$B$6))&lt;0.000001,"High Risk","Worst Scenario")))</x:f>
        <x:v>Low Risk</x:v>
      </x:c>
      <x:c r="P87" s="28" t="n">
        <x:f>IF(A87="Purchase Order Funding",Inputs!$G$13,IF(B87=500000,180,IF(B87=750000,365,1095)))</x:f>
        <x:v>180</x:v>
      </x:c>
      <x:c r="Q87" s="20" t="n">
        <x:f>D87</x:f>
        <x:v>0.155</x:v>
      </x:c>
      <x:c r="R87" s="30" t="n">
        <x:f>B87+C87+E87+F87+L87</x:f>
        <x:v>628150</x:v>
      </x:c>
      <x:c r="S87" s="30" t="n">
        <x:f>(B87+E87)*J87</x:f>
        <x:v>385</x:v>
      </x:c>
      <x:c r="T87" s="30" t="n">
        <x:f>C87+E87+F87+L87</x:f>
        <x:v>128150</x:v>
      </x:c>
      <x:c r="U87" s="30" t="n">
        <x:f>E87</x:f>
        <x:v>77500</x:v>
      </x:c>
      <x:c r="V87" s="30" t="n">
        <x:f>C87</x:f>
        <x:v>1000</x:v>
      </x:c>
      <x:c r="W87" s="30" t="n">
        <x:f>F87</x:f>
        <x:v>15000</x:v>
      </x:c>
      <x:c r="X87" s="30" t="n">
        <x:f>L87</x:f>
        <x:v>34650</x:v>
      </x:c>
      <x:c r="Y87" s="30" t="n">
        <x:f>SUM(U87:X87)</x:f>
        <x:v>128150</x:v>
      </x:c>
    </x:row>
    <x:row r="88">
      <x:c r="A88" t="str">
        <x:v>Short Term Contract</x:v>
      </x:c>
      <x:c r="B88" s="30" t="n">
        <x:v>500000</x:v>
      </x:c>
      <x:c r="C88" s="30" t="n">
        <x:f>Inputs!$G$5</x:f>
        <x:v>1000</x:v>
      </x:c>
      <x:c r="D88" s="20" t="n">
        <x:f>Inputs!$G$4+VLOOKUP(M88,Inputs!$A$4:$B$7,2,FALSE)</x:f>
        <x:v>0.155</x:v>
      </x:c>
      <x:c r="E88" s="30" t="n">
        <x:f>B88*D88*N88/Inputs!$G$8</x:f>
        <x:v>77500</x:v>
      </x:c>
      <x:c r="F88" s="30" t="n">
        <x:f>B88*Inputs!$G$6</x:f>
        <x:v>15000</x:v>
      </x:c>
      <x:c r="G88" t="str">
        <x:v>120 Days</x:v>
      </x:c>
      <x:c r="H88" s="28" t="n">
        <x:v>120</x:v>
      </x:c>
      <x:c r="I88" s="52" t="n">
        <x:f>Inputs!$G$7</x:f>
        <x:v>0.02</x:v>
      </x:c>
      <x:c r="J88" s="52" t="n">
        <x:f>I88/30</x:f>
        <x:v>0.0006666666666666666</x:v>
      </x:c>
      <x:c r="K88" s="52" t="n">
        <x:f>J88*H88</x:f>
        <x:v>0.08</x:v>
      </x:c>
      <x:c r="L88" s="30" t="n">
        <x:f>(B88+E88)*K88</x:f>
        <x:v>46200</x:v>
      </x:c>
      <x:c r="M88" s="30" t="n">
        <x:f>E88</x:f>
        <x:v>77500</x:v>
      </x:c>
      <x:c r="N88" s="30">
        <x:f>R88-C88-F88</x:f>
      </x:c>
      <x:c r="O88" s="20" t="str">
        <x:f>IF(ABS(D88-(Inputs!$G$4+Inputs!$B$4))&lt;0.000001,"Low Risk",IF(ABS(D88-(Inputs!$G$4+Inputs!$B$5))&lt;0.000001,"Moderate Risk",IF(ABS(D88-(Inputs!$G$4+Inputs!$B$6))&lt;0.000001,"High Risk","Worst Scenario")))</x:f>
        <x:v>Low Risk</x:v>
      </x:c>
      <x:c r="P88" s="28" t="n">
        <x:f>IF(A88="Purchase Order Funding",Inputs!$G$13,IF(B88=500000,180,IF(B88=750000,365,1095)))</x:f>
        <x:v>180</x:v>
      </x:c>
      <x:c r="Q88" s="20" t="n">
        <x:f>D88</x:f>
        <x:v>0.155</x:v>
      </x:c>
      <x:c r="R88" s="30" t="n">
        <x:f>B88+C88+E88+F88+L88</x:f>
        <x:v>639700</x:v>
      </x:c>
      <x:c r="S88" s="30" t="n">
        <x:f>(B88+E88)*J88</x:f>
        <x:v>385</x:v>
      </x:c>
      <x:c r="T88" s="30" t="n">
        <x:f>C88+E88+F88+L88</x:f>
        <x:v>139700</x:v>
      </x:c>
      <x:c r="U88" s="30" t="n">
        <x:f>E88</x:f>
        <x:v>77500</x:v>
      </x:c>
      <x:c r="V88" s="30" t="n">
        <x:f>C88</x:f>
        <x:v>1000</x:v>
      </x:c>
      <x:c r="W88" s="30" t="n">
        <x:f>F88</x:f>
        <x:v>15000</x:v>
      </x:c>
      <x:c r="X88" s="30" t="n">
        <x:f>L88</x:f>
        <x:v>46200</x:v>
      </x:c>
      <x:c r="Y88" s="30" t="n">
        <x:f>SUM(U88:X88)</x:f>
        <x:v>139700</x:v>
      </x:c>
    </x:row>
    <x:row r="89">
      <x:c r="A89" t="str">
        <x:v>Short Term Contract</x:v>
      </x:c>
      <x:c r="B89" s="30" t="n">
        <x:v>500000</x:v>
      </x:c>
      <x:c r="C89" s="30" t="n">
        <x:f>Inputs!$G$5</x:f>
        <x:v>1000</x:v>
      </x:c>
      <x:c r="D89" s="20" t="n">
        <x:f>Inputs!$G$4+VLOOKUP(M89,Inputs!$A$4:$B$7,2,FALSE)</x:f>
        <x:v>0.16999999999999998</x:v>
      </x:c>
      <x:c r="E89" s="30" t="n">
        <x:f>B89*D89*N89/Inputs!$G$8</x:f>
        <x:v>84999.99999999999</x:v>
      </x:c>
      <x:c r="F89" s="30" t="n">
        <x:f>B89*Inputs!$G$6</x:f>
        <x:v>15000</x:v>
      </x:c>
      <x:c r="G89" t="str">
        <x:v>30 Days</x:v>
      </x:c>
      <x:c r="H89" s="28" t="n">
        <x:v>30</x:v>
      </x:c>
      <x:c r="I89" s="52" t="n">
        <x:f>Inputs!$G$7</x:f>
        <x:v>0.02</x:v>
      </x:c>
      <x:c r="J89" s="52" t="n">
        <x:f>I89/30</x:f>
        <x:v>0.0006666666666666666</x:v>
      </x:c>
      <x:c r="K89" s="52" t="n">
        <x:f>J89*H89</x:f>
        <x:v>0.02</x:v>
      </x:c>
      <x:c r="L89" s="30" t="n">
        <x:f>(B89+E89)*K89</x:f>
        <x:v>11700</x:v>
      </x:c>
      <x:c r="M89" s="30" t="n">
        <x:f>E89</x:f>
        <x:v>84999.99999999999</x:v>
      </x:c>
      <x:c r="N89" s="30">
        <x:f>R89-C89-F89</x:f>
      </x:c>
      <x:c r="O89" s="20" t="str">
        <x:f>IF(ABS(D89-(Inputs!$G$4+Inputs!$B$4))&lt;0.000001,"Low Risk",IF(ABS(D89-(Inputs!$G$4+Inputs!$B$5))&lt;0.000001,"Moderate Risk",IF(ABS(D89-(Inputs!$G$4+Inputs!$B$6))&lt;0.000001,"High Risk","Worst Scenario")))</x:f>
        <x:v>Moderate Risk</x:v>
      </x:c>
      <x:c r="P89" s="28" t="n">
        <x:f>IF(A89="Purchase Order Funding",Inputs!$G$13,IF(B89=500000,180,IF(B89=750000,365,1095)))</x:f>
        <x:v>180</x:v>
      </x:c>
      <x:c r="Q89" s="20" t="n">
        <x:f>D89</x:f>
        <x:v>0.16999999999999998</x:v>
      </x:c>
      <x:c r="R89" s="30" t="n">
        <x:f>B89+C89+E89+F89+L89</x:f>
        <x:v>612700</x:v>
      </x:c>
      <x:c r="S89" s="30" t="n">
        <x:f>(B89+E89)*J89</x:f>
        <x:v>390</x:v>
      </x:c>
      <x:c r="T89" s="30" t="n">
        <x:f>C89+E89+F89+L89</x:f>
        <x:v>112699.99999999999</x:v>
      </x:c>
      <x:c r="U89" s="30" t="n">
        <x:f>E89</x:f>
        <x:v>84999.99999999999</x:v>
      </x:c>
      <x:c r="V89" s="30" t="n">
        <x:f>C89</x:f>
        <x:v>1000</x:v>
      </x:c>
      <x:c r="W89" s="30" t="n">
        <x:f>F89</x:f>
        <x:v>15000</x:v>
      </x:c>
      <x:c r="X89" s="30" t="n">
        <x:f>L89</x:f>
        <x:v>11700</x:v>
      </x:c>
      <x:c r="Y89" s="30" t="n">
        <x:f>SUM(U89:X89)</x:f>
        <x:v>112699.99999999999</x:v>
      </x:c>
    </x:row>
    <x:row r="90">
      <x:c r="A90" t="str">
        <x:v>Short Term Contract</x:v>
      </x:c>
      <x:c r="B90" s="30" t="n">
        <x:v>500000</x:v>
      </x:c>
      <x:c r="C90" s="30" t="n">
        <x:f>Inputs!$G$5</x:f>
        <x:v>1000</x:v>
      </x:c>
      <x:c r="D90" s="20" t="n">
        <x:f>Inputs!$G$4+VLOOKUP(M90,Inputs!$A$4:$B$7,2,FALSE)</x:f>
        <x:v>0.16999999999999998</x:v>
      </x:c>
      <x:c r="E90" s="30" t="n">
        <x:f>B90*D90*N90/Inputs!$G$8</x:f>
        <x:v>84999.99999999999</x:v>
      </x:c>
      <x:c r="F90" s="30" t="n">
        <x:f>B90*Inputs!$G$6</x:f>
        <x:v>15000</x:v>
      </x:c>
      <x:c r="G90" t="str">
        <x:v>60 Days</x:v>
      </x:c>
      <x:c r="H90" s="28" t="n">
        <x:v>60</x:v>
      </x:c>
      <x:c r="I90" s="52" t="n">
        <x:f>Inputs!$G$7</x:f>
        <x:v>0.02</x:v>
      </x:c>
      <x:c r="J90" s="52" t="n">
        <x:f>I90/30</x:f>
        <x:v>0.0006666666666666666</x:v>
      </x:c>
      <x:c r="K90" s="52" t="n">
        <x:f>J90*H90</x:f>
        <x:v>0.04</x:v>
      </x:c>
      <x:c r="L90" s="30" t="n">
        <x:f>(B90+E90)*K90</x:f>
        <x:v>23400</x:v>
      </x:c>
      <x:c r="M90" s="30" t="n">
        <x:f>E90</x:f>
        <x:v>84999.99999999999</x:v>
      </x:c>
      <x:c r="N90" s="30">
        <x:f>R90-C90-F90</x:f>
      </x:c>
      <x:c r="O90" s="20" t="str">
        <x:f>IF(ABS(D90-(Inputs!$G$4+Inputs!$B$4))&lt;0.000001,"Low Risk",IF(ABS(D90-(Inputs!$G$4+Inputs!$B$5))&lt;0.000001,"Moderate Risk",IF(ABS(D90-(Inputs!$G$4+Inputs!$B$6))&lt;0.000001,"High Risk","Worst Scenario")))</x:f>
        <x:v>Moderate Risk</x:v>
      </x:c>
      <x:c r="P90" s="28" t="n">
        <x:f>IF(A90="Purchase Order Funding",Inputs!$G$13,IF(B90=500000,180,IF(B90=750000,365,1095)))</x:f>
        <x:v>180</x:v>
      </x:c>
      <x:c r="Q90" s="20" t="n">
        <x:f>D90</x:f>
        <x:v>0.16999999999999998</x:v>
      </x:c>
      <x:c r="R90" s="30" t="n">
        <x:f>B90+C90+E90+F90+L90</x:f>
        <x:v>624400</x:v>
      </x:c>
      <x:c r="S90" s="30" t="n">
        <x:f>(B90+E90)*J90</x:f>
        <x:v>390</x:v>
      </x:c>
      <x:c r="T90" s="30" t="n">
        <x:f>C90+E90+F90+L90</x:f>
        <x:v>124399.99999999999</x:v>
      </x:c>
      <x:c r="U90" s="30" t="n">
        <x:f>E90</x:f>
        <x:v>84999.99999999999</x:v>
      </x:c>
      <x:c r="V90" s="30" t="n">
        <x:f>C90</x:f>
        <x:v>1000</x:v>
      </x:c>
      <x:c r="W90" s="30" t="n">
        <x:f>F90</x:f>
        <x:v>15000</x:v>
      </x:c>
      <x:c r="X90" s="30" t="n">
        <x:f>L90</x:f>
        <x:v>23400</x:v>
      </x:c>
      <x:c r="Y90" s="30" t="n">
        <x:f>SUM(U90:X90)</x:f>
        <x:v>124399.99999999999</x:v>
      </x:c>
    </x:row>
    <x:row r="91">
      <x:c r="A91" t="str">
        <x:v>Short Term Contract</x:v>
      </x:c>
      <x:c r="B91" s="30" t="n">
        <x:v>500000</x:v>
      </x:c>
      <x:c r="C91" s="30" t="n">
        <x:f>Inputs!$G$5</x:f>
        <x:v>1000</x:v>
      </x:c>
      <x:c r="D91" s="20" t="n">
        <x:f>Inputs!$G$4+VLOOKUP(M91,Inputs!$A$4:$B$7,2,FALSE)</x:f>
        <x:v>0.16999999999999998</x:v>
      </x:c>
      <x:c r="E91" s="30" t="n">
        <x:f>B91*D91*N91/Inputs!$G$8</x:f>
        <x:v>84999.99999999999</x:v>
      </x:c>
      <x:c r="F91" s="30" t="n">
        <x:f>B91*Inputs!$G$6</x:f>
        <x:v>15000</x:v>
      </x:c>
      <x:c r="G91" t="str">
        <x:v>90 Days</x:v>
      </x:c>
      <x:c r="H91" s="28" t="n">
        <x:v>90</x:v>
      </x:c>
      <x:c r="I91" s="52" t="n">
        <x:f>Inputs!$G$7</x:f>
        <x:v>0.02</x:v>
      </x:c>
      <x:c r="J91" s="52" t="n">
        <x:f>I91/30</x:f>
        <x:v>0.0006666666666666666</x:v>
      </x:c>
      <x:c r="K91" s="52" t="n">
        <x:f>J91*H91</x:f>
        <x:v>0.06</x:v>
      </x:c>
      <x:c r="L91" s="30" t="n">
        <x:f>(B91+E91)*K91</x:f>
        <x:v>35100</x:v>
      </x:c>
      <x:c r="M91" s="30" t="n">
        <x:f>E91</x:f>
        <x:v>84999.99999999999</x:v>
      </x:c>
      <x:c r="N91" s="30">
        <x:f>R91-C91-F91</x:f>
      </x:c>
      <x:c r="O91" s="20" t="str">
        <x:f>IF(ABS(D91-(Inputs!$G$4+Inputs!$B$4))&lt;0.000001,"Low Risk",IF(ABS(D91-(Inputs!$G$4+Inputs!$B$5))&lt;0.000001,"Moderate Risk",IF(ABS(D91-(Inputs!$G$4+Inputs!$B$6))&lt;0.000001,"High Risk","Worst Scenario")))</x:f>
        <x:v>Moderate Risk</x:v>
      </x:c>
      <x:c r="P91" s="28" t="n">
        <x:f>IF(A91="Purchase Order Funding",Inputs!$G$13,IF(B91=500000,180,IF(B91=750000,365,1095)))</x:f>
        <x:v>180</x:v>
      </x:c>
      <x:c r="Q91" s="20" t="n">
        <x:f>D91</x:f>
        <x:v>0.16999999999999998</x:v>
      </x:c>
      <x:c r="R91" s="30" t="n">
        <x:f>B91+C91+E91+F91+L91</x:f>
        <x:v>636100</x:v>
      </x:c>
      <x:c r="S91" s="30" t="n">
        <x:f>(B91+E91)*J91</x:f>
        <x:v>390</x:v>
      </x:c>
      <x:c r="T91" s="30" t="n">
        <x:f>C91+E91+F91+L91</x:f>
        <x:v>136100</x:v>
      </x:c>
      <x:c r="U91" s="30" t="n">
        <x:f>E91</x:f>
        <x:v>84999.99999999999</x:v>
      </x:c>
      <x:c r="V91" s="30" t="n">
        <x:f>C91</x:f>
        <x:v>1000</x:v>
      </x:c>
      <x:c r="W91" s="30" t="n">
        <x:f>F91</x:f>
        <x:v>15000</x:v>
      </x:c>
      <x:c r="X91" s="30" t="n">
        <x:f>L91</x:f>
        <x:v>35100</x:v>
      </x:c>
      <x:c r="Y91" s="30" t="n">
        <x:f>SUM(U91:X91)</x:f>
        <x:v>136100</x:v>
      </x:c>
    </x:row>
    <x:row r="92">
      <x:c r="A92" t="str">
        <x:v>Short Term Contract</x:v>
      </x:c>
      <x:c r="B92" s="30" t="n">
        <x:v>500000</x:v>
      </x:c>
      <x:c r="C92" s="30" t="n">
        <x:f>Inputs!$G$5</x:f>
        <x:v>1000</x:v>
      </x:c>
      <x:c r="D92" s="20" t="n">
        <x:f>Inputs!$G$4+VLOOKUP(M92,Inputs!$A$4:$B$7,2,FALSE)</x:f>
        <x:v>0.16999999999999998</x:v>
      </x:c>
      <x:c r="E92" s="30" t="n">
        <x:f>B92*D92*N92/Inputs!$G$8</x:f>
        <x:v>84999.99999999999</x:v>
      </x:c>
      <x:c r="F92" s="30" t="n">
        <x:f>B92*Inputs!$G$6</x:f>
        <x:v>15000</x:v>
      </x:c>
      <x:c r="G92" t="str">
        <x:v>120 Days</x:v>
      </x:c>
      <x:c r="H92" s="28" t="n">
        <x:v>120</x:v>
      </x:c>
      <x:c r="I92" s="52" t="n">
        <x:f>Inputs!$G$7</x:f>
        <x:v>0.02</x:v>
      </x:c>
      <x:c r="J92" s="52" t="n">
        <x:f>I92/30</x:f>
        <x:v>0.0006666666666666666</x:v>
      </x:c>
      <x:c r="K92" s="52" t="n">
        <x:f>J92*H92</x:f>
        <x:v>0.08</x:v>
      </x:c>
      <x:c r="L92" s="30" t="n">
        <x:f>(B92+E92)*K92</x:f>
        <x:v>46800</x:v>
      </x:c>
      <x:c r="M92" s="30" t="n">
        <x:f>E92</x:f>
        <x:v>84999.99999999999</x:v>
      </x:c>
      <x:c r="N92" s="30">
        <x:f>R92-C92-F92</x:f>
      </x:c>
      <x:c r="O92" s="20" t="str">
        <x:f>IF(ABS(D92-(Inputs!$G$4+Inputs!$B$4))&lt;0.000001,"Low Risk",IF(ABS(D92-(Inputs!$G$4+Inputs!$B$5))&lt;0.000001,"Moderate Risk",IF(ABS(D92-(Inputs!$G$4+Inputs!$B$6))&lt;0.000001,"High Risk","Worst Scenario")))</x:f>
        <x:v>Moderate Risk</x:v>
      </x:c>
      <x:c r="P92" s="28" t="n">
        <x:f>IF(A92="Purchase Order Funding",Inputs!$G$13,IF(B92=500000,180,IF(B92=750000,365,1095)))</x:f>
        <x:v>180</x:v>
      </x:c>
      <x:c r="Q92" s="20" t="n">
        <x:f>D92</x:f>
        <x:v>0.16999999999999998</x:v>
      </x:c>
      <x:c r="R92" s="30" t="n">
        <x:f>B92+C92+E92+F92+L92</x:f>
        <x:v>647800</x:v>
      </x:c>
      <x:c r="S92" s="30" t="n">
        <x:f>(B92+E92)*J92</x:f>
        <x:v>390</x:v>
      </x:c>
      <x:c r="T92" s="30" t="n">
        <x:f>C92+E92+F92+L92</x:f>
        <x:v>147800</x:v>
      </x:c>
      <x:c r="U92" s="30" t="n">
        <x:f>E92</x:f>
        <x:v>84999.99999999999</x:v>
      </x:c>
      <x:c r="V92" s="30" t="n">
        <x:f>C92</x:f>
        <x:v>1000</x:v>
      </x:c>
      <x:c r="W92" s="30" t="n">
        <x:f>F92</x:f>
        <x:v>15000</x:v>
      </x:c>
      <x:c r="X92" s="30" t="n">
        <x:f>L92</x:f>
        <x:v>46800</x:v>
      </x:c>
      <x:c r="Y92" s="30" t="n">
        <x:f>SUM(U92:X92)</x:f>
        <x:v>147800</x:v>
      </x:c>
    </x:row>
    <x:row r="93">
      <x:c r="A93" t="str">
        <x:v>Short Term Contract</x:v>
      </x:c>
      <x:c r="B93" s="30" t="n">
        <x:v>500000</x:v>
      </x:c>
      <x:c r="C93" s="30" t="n">
        <x:f>Inputs!$G$5</x:f>
        <x:v>1000</x:v>
      </x:c>
      <x:c r="D93" s="20" t="n">
        <x:f>Inputs!$G$4+VLOOKUP(M93,Inputs!$A$4:$B$7,2,FALSE)</x:f>
        <x:v>0.19</x:v>
      </x:c>
      <x:c r="E93" s="30" t="n">
        <x:f>B93*D93*N93/Inputs!$G$8</x:f>
        <x:v>95000</x:v>
      </x:c>
      <x:c r="F93" s="30" t="n">
        <x:f>B93*Inputs!$G$6</x:f>
        <x:v>15000</x:v>
      </x:c>
      <x:c r="G93" t="str">
        <x:v>30 Days</x:v>
      </x:c>
      <x:c r="H93" s="28" t="n">
        <x:v>30</x:v>
      </x:c>
      <x:c r="I93" s="52" t="n">
        <x:f>Inputs!$G$7</x:f>
        <x:v>0.02</x:v>
      </x:c>
      <x:c r="J93" s="52" t="n">
        <x:f>I93/30</x:f>
        <x:v>0.0006666666666666666</x:v>
      </x:c>
      <x:c r="K93" s="52" t="n">
        <x:f>J93*H93</x:f>
        <x:v>0.02</x:v>
      </x:c>
      <x:c r="L93" s="30" t="n">
        <x:f>(B93+E93)*K93</x:f>
        <x:v>11900</x:v>
      </x:c>
      <x:c r="M93" s="30" t="n">
        <x:f>E93</x:f>
        <x:v>95000</x:v>
      </x:c>
      <x:c r="N93" s="30">
        <x:f>R93-C93-F93</x:f>
      </x:c>
      <x:c r="O93" s="20" t="str">
        <x:f>IF(ABS(D93-(Inputs!$G$4+Inputs!$B$4))&lt;0.000001,"Low Risk",IF(ABS(D93-(Inputs!$G$4+Inputs!$B$5))&lt;0.000001,"Moderate Risk",IF(ABS(D93-(Inputs!$G$4+Inputs!$B$6))&lt;0.000001,"High Risk","Worst Scenario")))</x:f>
        <x:v>High Risk</x:v>
      </x:c>
      <x:c r="P93" s="28" t="n">
        <x:f>IF(A93="Purchase Order Funding",Inputs!$G$13,IF(B93=500000,180,IF(B93=750000,365,1095)))</x:f>
        <x:v>180</x:v>
      </x:c>
      <x:c r="Q93" s="20" t="n">
        <x:f>D93</x:f>
        <x:v>0.19</x:v>
      </x:c>
      <x:c r="R93" s="30" t="n">
        <x:f>B93+C93+E93+F93+L93</x:f>
        <x:v>622900</x:v>
      </x:c>
      <x:c r="S93" s="30" t="n">
        <x:f>(B93+E93)*J93</x:f>
        <x:v>396.66666666666663</x:v>
      </x:c>
      <x:c r="T93" s="30" t="n">
        <x:f>C93+E93+F93+L93</x:f>
        <x:v>122900</x:v>
      </x:c>
      <x:c r="U93" s="30" t="n">
        <x:f>E93</x:f>
        <x:v>95000</x:v>
      </x:c>
      <x:c r="V93" s="30" t="n">
        <x:f>C93</x:f>
        <x:v>1000</x:v>
      </x:c>
      <x:c r="W93" s="30" t="n">
        <x:f>F93</x:f>
        <x:v>15000</x:v>
      </x:c>
      <x:c r="X93" s="30" t="n">
        <x:f>L93</x:f>
        <x:v>11900</x:v>
      </x:c>
      <x:c r="Y93" s="30" t="n">
        <x:f>SUM(U93:X93)</x:f>
        <x:v>122900</x:v>
      </x:c>
    </x:row>
    <x:row r="94">
      <x:c r="A94" t="str">
        <x:v>Short Term Contract</x:v>
      </x:c>
      <x:c r="B94" s="30" t="n">
        <x:v>500000</x:v>
      </x:c>
      <x:c r="C94" s="30" t="n">
        <x:f>Inputs!$G$5</x:f>
        <x:v>1000</x:v>
      </x:c>
      <x:c r="D94" s="20" t="n">
        <x:f>Inputs!$G$4+VLOOKUP(M94,Inputs!$A$4:$B$7,2,FALSE)</x:f>
        <x:v>0.19</x:v>
      </x:c>
      <x:c r="E94" s="30" t="n">
        <x:f>B94*D94*N94/Inputs!$G$8</x:f>
        <x:v>95000</x:v>
      </x:c>
      <x:c r="F94" s="30" t="n">
        <x:f>B94*Inputs!$G$6</x:f>
        <x:v>15000</x:v>
      </x:c>
      <x:c r="G94" t="str">
        <x:v>60 Days</x:v>
      </x:c>
      <x:c r="H94" s="28" t="n">
        <x:v>60</x:v>
      </x:c>
      <x:c r="I94" s="52" t="n">
        <x:f>Inputs!$G$7</x:f>
        <x:v>0.02</x:v>
      </x:c>
      <x:c r="J94" s="52" t="n">
        <x:f>I94/30</x:f>
        <x:v>0.0006666666666666666</x:v>
      </x:c>
      <x:c r="K94" s="52" t="n">
        <x:f>J94*H94</x:f>
        <x:v>0.04</x:v>
      </x:c>
      <x:c r="L94" s="30" t="n">
        <x:f>(B94+E94)*K94</x:f>
        <x:v>23800</x:v>
      </x:c>
      <x:c r="M94" s="30" t="n">
        <x:f>E94</x:f>
        <x:v>95000</x:v>
      </x:c>
      <x:c r="N94" s="30">
        <x:f>R94-C94-F94</x:f>
      </x:c>
      <x:c r="O94" s="20" t="str">
        <x:f>IF(ABS(D94-(Inputs!$G$4+Inputs!$B$4))&lt;0.000001,"Low Risk",IF(ABS(D94-(Inputs!$G$4+Inputs!$B$5))&lt;0.000001,"Moderate Risk",IF(ABS(D94-(Inputs!$G$4+Inputs!$B$6))&lt;0.000001,"High Risk","Worst Scenario")))</x:f>
        <x:v>High Risk</x:v>
      </x:c>
      <x:c r="P94" s="28" t="n">
        <x:f>IF(A94="Purchase Order Funding",Inputs!$G$13,IF(B94=500000,180,IF(B94=750000,365,1095)))</x:f>
        <x:v>180</x:v>
      </x:c>
      <x:c r="Q94" s="20" t="n">
        <x:f>D94</x:f>
        <x:v>0.19</x:v>
      </x:c>
      <x:c r="R94" s="30" t="n">
        <x:f>B94+C94+E94+F94+L94</x:f>
        <x:v>634800</x:v>
      </x:c>
      <x:c r="S94" s="30" t="n">
        <x:f>(B94+E94)*J94</x:f>
        <x:v>396.66666666666663</x:v>
      </x:c>
      <x:c r="T94" s="30" t="n">
        <x:f>C94+E94+F94+L94</x:f>
        <x:v>134800</x:v>
      </x:c>
      <x:c r="U94" s="30" t="n">
        <x:f>E94</x:f>
        <x:v>95000</x:v>
      </x:c>
      <x:c r="V94" s="30" t="n">
        <x:f>C94</x:f>
        <x:v>1000</x:v>
      </x:c>
      <x:c r="W94" s="30" t="n">
        <x:f>F94</x:f>
        <x:v>15000</x:v>
      </x:c>
      <x:c r="X94" s="30" t="n">
        <x:f>L94</x:f>
        <x:v>23800</x:v>
      </x:c>
      <x:c r="Y94" s="30" t="n">
        <x:f>SUM(U94:X94)</x:f>
        <x:v>134800</x:v>
      </x:c>
    </x:row>
    <x:row r="95">
      <x:c r="A95" t="str">
        <x:v>Short Term Contract</x:v>
      </x:c>
      <x:c r="B95" s="30" t="n">
        <x:v>500000</x:v>
      </x:c>
      <x:c r="C95" s="30" t="n">
        <x:f>Inputs!$G$5</x:f>
        <x:v>1000</x:v>
      </x:c>
      <x:c r="D95" s="20" t="n">
        <x:f>Inputs!$G$4+VLOOKUP(M95,Inputs!$A$4:$B$7,2,FALSE)</x:f>
        <x:v>0.19</x:v>
      </x:c>
      <x:c r="E95" s="30" t="n">
        <x:f>B95*D95*N95/Inputs!$G$8</x:f>
        <x:v>95000</x:v>
      </x:c>
      <x:c r="F95" s="30" t="n">
        <x:f>B95*Inputs!$G$6</x:f>
        <x:v>15000</x:v>
      </x:c>
      <x:c r="G95" t="str">
        <x:v>90 Days</x:v>
      </x:c>
      <x:c r="H95" s="28" t="n">
        <x:v>90</x:v>
      </x:c>
      <x:c r="I95" s="52" t="n">
        <x:f>Inputs!$G$7</x:f>
        <x:v>0.02</x:v>
      </x:c>
      <x:c r="J95" s="52" t="n">
        <x:f>I95/30</x:f>
        <x:v>0.0006666666666666666</x:v>
      </x:c>
      <x:c r="K95" s="52" t="n">
        <x:f>J95*H95</x:f>
        <x:v>0.06</x:v>
      </x:c>
      <x:c r="L95" s="30" t="n">
        <x:f>(B95+E95)*K95</x:f>
        <x:v>35700</x:v>
      </x:c>
      <x:c r="M95" s="30" t="n">
        <x:f>E95</x:f>
        <x:v>95000</x:v>
      </x:c>
      <x:c r="N95" s="30">
        <x:f>R95-C95-F95</x:f>
      </x:c>
      <x:c r="O95" s="20" t="str">
        <x:f>IF(ABS(D95-(Inputs!$G$4+Inputs!$B$4))&lt;0.000001,"Low Risk",IF(ABS(D95-(Inputs!$G$4+Inputs!$B$5))&lt;0.000001,"Moderate Risk",IF(ABS(D95-(Inputs!$G$4+Inputs!$B$6))&lt;0.000001,"High Risk","Worst Scenario")))</x:f>
        <x:v>High Risk</x:v>
      </x:c>
      <x:c r="P95" s="28" t="n">
        <x:f>IF(A95="Purchase Order Funding",Inputs!$G$13,IF(B95=500000,180,IF(B95=750000,365,1095)))</x:f>
        <x:v>180</x:v>
      </x:c>
      <x:c r="Q95" s="20" t="n">
        <x:f>D95</x:f>
        <x:v>0.19</x:v>
      </x:c>
      <x:c r="R95" s="30" t="n">
        <x:f>B95+C95+E95+F95+L95</x:f>
        <x:v>646700</x:v>
      </x:c>
      <x:c r="S95" s="30" t="n">
        <x:f>(B95+E95)*J95</x:f>
        <x:v>396.66666666666663</x:v>
      </x:c>
      <x:c r="T95" s="30" t="n">
        <x:f>C95+E95+F95+L95</x:f>
        <x:v>146700</x:v>
      </x:c>
      <x:c r="U95" s="30" t="n">
        <x:f>E95</x:f>
        <x:v>95000</x:v>
      </x:c>
      <x:c r="V95" s="30" t="n">
        <x:f>C95</x:f>
        <x:v>1000</x:v>
      </x:c>
      <x:c r="W95" s="30" t="n">
        <x:f>F95</x:f>
        <x:v>15000</x:v>
      </x:c>
      <x:c r="X95" s="30" t="n">
        <x:f>L95</x:f>
        <x:v>35700</x:v>
      </x:c>
      <x:c r="Y95" s="30" t="n">
        <x:f>SUM(U95:X95)</x:f>
        <x:v>146700</x:v>
      </x:c>
    </x:row>
    <x:row r="96">
      <x:c r="A96" t="str">
        <x:v>Short Term Contract</x:v>
      </x:c>
      <x:c r="B96" s="30" t="n">
        <x:v>500000</x:v>
      </x:c>
      <x:c r="C96" s="30" t="n">
        <x:f>Inputs!$G$5</x:f>
        <x:v>1000</x:v>
      </x:c>
      <x:c r="D96" s="20" t="n">
        <x:f>Inputs!$G$4+VLOOKUP(M96,Inputs!$A$4:$B$7,2,FALSE)</x:f>
        <x:v>0.19</x:v>
      </x:c>
      <x:c r="E96" s="30" t="n">
        <x:f>B96*D96*N96/Inputs!$G$8</x:f>
        <x:v>95000</x:v>
      </x:c>
      <x:c r="F96" s="30" t="n">
        <x:f>B96*Inputs!$G$6</x:f>
        <x:v>15000</x:v>
      </x:c>
      <x:c r="G96" t="str">
        <x:v>120 Days</x:v>
      </x:c>
      <x:c r="H96" s="28" t="n">
        <x:v>120</x:v>
      </x:c>
      <x:c r="I96" s="52" t="n">
        <x:f>Inputs!$G$7</x:f>
        <x:v>0.02</x:v>
      </x:c>
      <x:c r="J96" s="52" t="n">
        <x:f>I96/30</x:f>
        <x:v>0.0006666666666666666</x:v>
      </x:c>
      <x:c r="K96" s="52" t="n">
        <x:f>J96*H96</x:f>
        <x:v>0.08</x:v>
      </x:c>
      <x:c r="L96" s="30" t="n">
        <x:f>(B96+E96)*K96</x:f>
        <x:v>47600</x:v>
      </x:c>
      <x:c r="M96" s="30" t="n">
        <x:f>E96</x:f>
        <x:v>95000</x:v>
      </x:c>
      <x:c r="N96" s="30">
        <x:f>R96-C96-F96</x:f>
      </x:c>
      <x:c r="O96" s="20" t="str">
        <x:f>IF(ABS(D96-(Inputs!$G$4+Inputs!$B$4))&lt;0.000001,"Low Risk",IF(ABS(D96-(Inputs!$G$4+Inputs!$B$5))&lt;0.000001,"Moderate Risk",IF(ABS(D96-(Inputs!$G$4+Inputs!$B$6))&lt;0.000001,"High Risk","Worst Scenario")))</x:f>
        <x:v>High Risk</x:v>
      </x:c>
      <x:c r="P96" s="28" t="n">
        <x:f>IF(A96="Purchase Order Funding",Inputs!$G$13,IF(B96=500000,180,IF(B96=750000,365,1095)))</x:f>
        <x:v>180</x:v>
      </x:c>
      <x:c r="Q96" s="20" t="n">
        <x:f>D96</x:f>
        <x:v>0.19</x:v>
      </x:c>
      <x:c r="R96" s="30" t="n">
        <x:f>B96+C96+E96+F96+L96</x:f>
        <x:v>658600</x:v>
      </x:c>
      <x:c r="S96" s="30" t="n">
        <x:f>(B96+E96)*J96</x:f>
        <x:v>396.66666666666663</x:v>
      </x:c>
      <x:c r="T96" s="30" t="n">
        <x:f>C96+E96+F96+L96</x:f>
        <x:v>158600</x:v>
      </x:c>
      <x:c r="U96" s="30" t="n">
        <x:f>E96</x:f>
        <x:v>95000</x:v>
      </x:c>
      <x:c r="V96" s="30" t="n">
        <x:f>C96</x:f>
        <x:v>1000</x:v>
      </x:c>
      <x:c r="W96" s="30" t="n">
        <x:f>F96</x:f>
        <x:v>15000</x:v>
      </x:c>
      <x:c r="X96" s="30" t="n">
        <x:f>L96</x:f>
        <x:v>47600</x:v>
      </x:c>
      <x:c r="Y96" s="30" t="n">
        <x:f>SUM(U96:X96)</x:f>
        <x:v>158600</x:v>
      </x:c>
    </x:row>
    <x:row r="97">
      <x:c r="A97" t="str">
        <x:v>Short Term Contract</x:v>
      </x:c>
      <x:c r="B97" s="30" t="n">
        <x:v>500000</x:v>
      </x:c>
      <x:c r="C97" s="30" t="n">
        <x:f>Inputs!$G$5</x:f>
        <x:v>1000</x:v>
      </x:c>
      <x:c r="D97" s="20" t="n">
        <x:f>Inputs!$G$4+VLOOKUP(M97,Inputs!$A$4:$B$7,2,FALSE)</x:f>
        <x:v>0.21</x:v>
      </x:c>
      <x:c r="E97" s="30" t="n">
        <x:f>B97*D97*N97/Inputs!$G$8</x:f>
        <x:v>105000</x:v>
      </x:c>
      <x:c r="F97" s="30" t="n">
        <x:f>B97*Inputs!$G$6</x:f>
        <x:v>15000</x:v>
      </x:c>
      <x:c r="G97" t="str">
        <x:v>30 Days</x:v>
      </x:c>
      <x:c r="H97" s="28" t="n">
        <x:v>30</x:v>
      </x:c>
      <x:c r="I97" s="52" t="n">
        <x:f>Inputs!$G$7</x:f>
        <x:v>0.02</x:v>
      </x:c>
      <x:c r="J97" s="52" t="n">
        <x:f>I97/30</x:f>
        <x:v>0.0006666666666666666</x:v>
      </x:c>
      <x:c r="K97" s="52" t="n">
        <x:f>J97*H97</x:f>
        <x:v>0.02</x:v>
      </x:c>
      <x:c r="L97" s="30" t="n">
        <x:f>(B97+E97)*K97</x:f>
        <x:v>12100</x:v>
      </x:c>
      <x:c r="M97" s="30" t="n">
        <x:f>E97</x:f>
        <x:v>105000</x:v>
      </x:c>
      <x:c r="N97" s="30">
        <x:f>R97-C97-F97</x:f>
      </x:c>
      <x:c r="O97" s="20" t="str">
        <x:f>IF(ABS(D97-(Inputs!$G$4+Inputs!$B$4))&lt;0.000001,"Low Risk",IF(ABS(D97-(Inputs!$G$4+Inputs!$B$5))&lt;0.000001,"Moderate Risk",IF(ABS(D97-(Inputs!$G$4+Inputs!$B$6))&lt;0.000001,"High Risk","Worst Scenario")))</x:f>
        <x:v>Worst Scenario</x:v>
      </x:c>
      <x:c r="P97" s="28" t="n">
        <x:f>IF(A97="Purchase Order Funding",Inputs!$G$13,IF(B97=500000,180,IF(B97=750000,365,1095)))</x:f>
        <x:v>180</x:v>
      </x:c>
      <x:c r="Q97" s="20" t="n">
        <x:f>D97</x:f>
        <x:v>0.21</x:v>
      </x:c>
      <x:c r="R97" s="30" t="n">
        <x:f>B97+C97+E97+F97+L97</x:f>
        <x:v>633100</x:v>
      </x:c>
      <x:c r="S97" s="30" t="n">
        <x:f>(B97+E97)*J97</x:f>
        <x:v>403.3333333333333</x:v>
      </x:c>
      <x:c r="T97" s="30" t="n">
        <x:f>C97+E97+F97+L97</x:f>
        <x:v>133100</x:v>
      </x:c>
      <x:c r="U97" s="30" t="n">
        <x:f>E97</x:f>
        <x:v>105000</x:v>
      </x:c>
      <x:c r="V97" s="30" t="n">
        <x:f>C97</x:f>
        <x:v>1000</x:v>
      </x:c>
      <x:c r="W97" s="30" t="n">
        <x:f>F97</x:f>
        <x:v>15000</x:v>
      </x:c>
      <x:c r="X97" s="30" t="n">
        <x:f>L97</x:f>
        <x:v>12100</x:v>
      </x:c>
      <x:c r="Y97" s="30" t="n">
        <x:f>SUM(U97:X97)</x:f>
        <x:v>133100</x:v>
      </x:c>
    </x:row>
    <x:row r="98">
      <x:c r="A98" t="str">
        <x:v>Short Term Contract</x:v>
      </x:c>
      <x:c r="B98" s="30" t="n">
        <x:v>500000</x:v>
      </x:c>
      <x:c r="C98" s="30" t="n">
        <x:f>Inputs!$G$5</x:f>
        <x:v>1000</x:v>
      </x:c>
      <x:c r="D98" s="20" t="n">
        <x:f>Inputs!$G$4+VLOOKUP(M98,Inputs!$A$4:$B$7,2,FALSE)</x:f>
        <x:v>0.21</x:v>
      </x:c>
      <x:c r="E98" s="30" t="n">
        <x:f>B98*D98*N98/Inputs!$G$8</x:f>
        <x:v>105000</x:v>
      </x:c>
      <x:c r="F98" s="30" t="n">
        <x:f>B98*Inputs!$G$6</x:f>
        <x:v>15000</x:v>
      </x:c>
      <x:c r="G98" t="str">
        <x:v>60 Days</x:v>
      </x:c>
      <x:c r="H98" s="28" t="n">
        <x:v>60</x:v>
      </x:c>
      <x:c r="I98" s="52" t="n">
        <x:f>Inputs!$G$7</x:f>
        <x:v>0.02</x:v>
      </x:c>
      <x:c r="J98" s="52" t="n">
        <x:f>I98/30</x:f>
        <x:v>0.0006666666666666666</x:v>
      </x:c>
      <x:c r="K98" s="52" t="n">
        <x:f>J98*H98</x:f>
        <x:v>0.04</x:v>
      </x:c>
      <x:c r="L98" s="30" t="n">
        <x:f>(B98+E98)*K98</x:f>
        <x:v>24200</x:v>
      </x:c>
      <x:c r="M98" s="30" t="n">
        <x:f>E98</x:f>
        <x:v>105000</x:v>
      </x:c>
      <x:c r="N98" s="30">
        <x:f>R98-C98-F98</x:f>
      </x:c>
      <x:c r="O98" s="20" t="str">
        <x:f>IF(ABS(D98-(Inputs!$G$4+Inputs!$B$4))&lt;0.000001,"Low Risk",IF(ABS(D98-(Inputs!$G$4+Inputs!$B$5))&lt;0.000001,"Moderate Risk",IF(ABS(D98-(Inputs!$G$4+Inputs!$B$6))&lt;0.000001,"High Risk","Worst Scenario")))</x:f>
        <x:v>Worst Scenario</x:v>
      </x:c>
      <x:c r="P98" s="28" t="n">
        <x:f>IF(A98="Purchase Order Funding",Inputs!$G$13,IF(B98=500000,180,IF(B98=750000,365,1095)))</x:f>
        <x:v>180</x:v>
      </x:c>
      <x:c r="Q98" s="20" t="n">
        <x:f>D98</x:f>
        <x:v>0.21</x:v>
      </x:c>
      <x:c r="R98" s="30" t="n">
        <x:f>B98+C98+E98+F98+L98</x:f>
        <x:v>645200</x:v>
      </x:c>
      <x:c r="S98" s="30" t="n">
        <x:f>(B98+E98)*J98</x:f>
        <x:v>403.3333333333333</x:v>
      </x:c>
      <x:c r="T98" s="30" t="n">
        <x:f>C98+E98+F98+L98</x:f>
        <x:v>145200</x:v>
      </x:c>
      <x:c r="U98" s="30" t="n">
        <x:f>E98</x:f>
        <x:v>105000</x:v>
      </x:c>
      <x:c r="V98" s="30" t="n">
        <x:f>C98</x:f>
        <x:v>1000</x:v>
      </x:c>
      <x:c r="W98" s="30" t="n">
        <x:f>F98</x:f>
        <x:v>15000</x:v>
      </x:c>
      <x:c r="X98" s="30" t="n">
        <x:f>L98</x:f>
        <x:v>24200</x:v>
      </x:c>
      <x:c r="Y98" s="30" t="n">
        <x:f>SUM(U98:X98)</x:f>
        <x:v>145200</x:v>
      </x:c>
    </x:row>
    <x:row r="99">
      <x:c r="A99" t="str">
        <x:v>Short Term Contract</x:v>
      </x:c>
      <x:c r="B99" s="30" t="n">
        <x:v>500000</x:v>
      </x:c>
      <x:c r="C99" s="30" t="n">
        <x:f>Inputs!$G$5</x:f>
        <x:v>1000</x:v>
      </x:c>
      <x:c r="D99" s="20" t="n">
        <x:f>Inputs!$G$4+VLOOKUP(M99,Inputs!$A$4:$B$7,2,FALSE)</x:f>
        <x:v>0.21</x:v>
      </x:c>
      <x:c r="E99" s="30" t="n">
        <x:f>B99*D99*N99/Inputs!$G$8</x:f>
        <x:v>105000</x:v>
      </x:c>
      <x:c r="F99" s="30" t="n">
        <x:f>B99*Inputs!$G$6</x:f>
        <x:v>15000</x:v>
      </x:c>
      <x:c r="G99" t="str">
        <x:v>90 Days</x:v>
      </x:c>
      <x:c r="H99" s="28" t="n">
        <x:v>90</x:v>
      </x:c>
      <x:c r="I99" s="52" t="n">
        <x:f>Inputs!$G$7</x:f>
        <x:v>0.02</x:v>
      </x:c>
      <x:c r="J99" s="52" t="n">
        <x:f>I99/30</x:f>
        <x:v>0.0006666666666666666</x:v>
      </x:c>
      <x:c r="K99" s="52" t="n">
        <x:f>J99*H99</x:f>
        <x:v>0.06</x:v>
      </x:c>
      <x:c r="L99" s="30" t="n">
        <x:f>(B99+E99)*K99</x:f>
        <x:v>36300</x:v>
      </x:c>
      <x:c r="M99" s="30" t="n">
        <x:f>E99</x:f>
        <x:v>105000</x:v>
      </x:c>
      <x:c r="N99" s="30">
        <x:f>R99-C99-F99</x:f>
      </x:c>
      <x:c r="O99" s="20" t="str">
        <x:f>IF(ABS(D99-(Inputs!$G$4+Inputs!$B$4))&lt;0.000001,"Low Risk",IF(ABS(D99-(Inputs!$G$4+Inputs!$B$5))&lt;0.000001,"Moderate Risk",IF(ABS(D99-(Inputs!$G$4+Inputs!$B$6))&lt;0.000001,"High Risk","Worst Scenario")))</x:f>
        <x:v>Worst Scenario</x:v>
      </x:c>
      <x:c r="P99" s="28" t="n">
        <x:f>IF(A99="Purchase Order Funding",Inputs!$G$13,IF(B99=500000,180,IF(B99=750000,365,1095)))</x:f>
        <x:v>180</x:v>
      </x:c>
      <x:c r="Q99" s="20" t="n">
        <x:f>D99</x:f>
        <x:v>0.21</x:v>
      </x:c>
      <x:c r="R99" s="30" t="n">
        <x:f>B99+C99+E99+F99+L99</x:f>
        <x:v>657300</x:v>
      </x:c>
      <x:c r="S99" s="30" t="n">
        <x:f>(B99+E99)*J99</x:f>
        <x:v>403.3333333333333</x:v>
      </x:c>
      <x:c r="T99" s="30" t="n">
        <x:f>C99+E99+F99+L99</x:f>
        <x:v>157300</x:v>
      </x:c>
      <x:c r="U99" s="30" t="n">
        <x:f>E99</x:f>
        <x:v>105000</x:v>
      </x:c>
      <x:c r="V99" s="30" t="n">
        <x:f>C99</x:f>
        <x:v>1000</x:v>
      </x:c>
      <x:c r="W99" s="30" t="n">
        <x:f>F99</x:f>
        <x:v>15000</x:v>
      </x:c>
      <x:c r="X99" s="30" t="n">
        <x:f>L99</x:f>
        <x:v>36300</x:v>
      </x:c>
      <x:c r="Y99" s="30" t="n">
        <x:f>SUM(U99:X99)</x:f>
        <x:v>157300</x:v>
      </x:c>
    </x:row>
    <x:row r="100">
      <x:c r="A100" t="str">
        <x:v>Short Term Contract</x:v>
      </x:c>
      <x:c r="B100" s="30" t="n">
        <x:v>500000</x:v>
      </x:c>
      <x:c r="C100" s="30" t="n">
        <x:f>Inputs!$G$5</x:f>
        <x:v>1000</x:v>
      </x:c>
      <x:c r="D100" s="20" t="n">
        <x:f>Inputs!$G$4+VLOOKUP(M100,Inputs!$A$4:$B$7,2,FALSE)</x:f>
        <x:v>0.21</x:v>
      </x:c>
      <x:c r="E100" s="30" t="n">
        <x:f>B100*D100*N100/Inputs!$G$8</x:f>
        <x:v>105000</x:v>
      </x:c>
      <x:c r="F100" s="30" t="n">
        <x:f>B100*Inputs!$G$6</x:f>
        <x:v>15000</x:v>
      </x:c>
      <x:c r="G100" t="str">
        <x:v>120 Days</x:v>
      </x:c>
      <x:c r="H100" s="28" t="n">
        <x:v>120</x:v>
      </x:c>
      <x:c r="I100" s="52" t="n">
        <x:f>Inputs!$G$7</x:f>
        <x:v>0.02</x:v>
      </x:c>
      <x:c r="J100" s="52" t="n">
        <x:f>I100/30</x:f>
        <x:v>0.0006666666666666666</x:v>
      </x:c>
      <x:c r="K100" s="52" t="n">
        <x:f>J100*H100</x:f>
        <x:v>0.08</x:v>
      </x:c>
      <x:c r="L100" s="30" t="n">
        <x:f>(B100+E100)*K100</x:f>
        <x:v>48400</x:v>
      </x:c>
      <x:c r="M100" s="30" t="n">
        <x:f>E100</x:f>
        <x:v>105000</x:v>
      </x:c>
      <x:c r="N100" s="30">
        <x:f>R100-C100-F100</x:f>
      </x:c>
      <x:c r="O100" s="20" t="str">
        <x:f>IF(ABS(D100-(Inputs!$G$4+Inputs!$B$4))&lt;0.000001,"Low Risk",IF(ABS(D100-(Inputs!$G$4+Inputs!$B$5))&lt;0.000001,"Moderate Risk",IF(ABS(D100-(Inputs!$G$4+Inputs!$B$6))&lt;0.000001,"High Risk","Worst Scenario")))</x:f>
        <x:v>Worst Scenario</x:v>
      </x:c>
      <x:c r="P100" s="28" t="n">
        <x:f>IF(A100="Purchase Order Funding",Inputs!$G$13,IF(B100=500000,180,IF(B100=750000,365,1095)))</x:f>
        <x:v>180</x:v>
      </x:c>
      <x:c r="Q100" s="20" t="n">
        <x:f>D100</x:f>
        <x:v>0.21</x:v>
      </x:c>
      <x:c r="R100" s="30" t="n">
        <x:f>B100+C100+E100+F100+L100</x:f>
        <x:v>669400</x:v>
      </x:c>
      <x:c r="S100" s="30" t="n">
        <x:f>(B100+E100)*J100</x:f>
        <x:v>403.3333333333333</x:v>
      </x:c>
      <x:c r="T100" s="30" t="n">
        <x:f>C100+E100+F100+L100</x:f>
        <x:v>169400</x:v>
      </x:c>
      <x:c r="U100" s="30" t="n">
        <x:f>E100</x:f>
        <x:v>105000</x:v>
      </x:c>
      <x:c r="V100" s="30" t="n">
        <x:f>C100</x:f>
        <x:v>1000</x:v>
      </x:c>
      <x:c r="W100" s="30" t="n">
        <x:f>F100</x:f>
        <x:v>15000</x:v>
      </x:c>
      <x:c r="X100" s="30" t="n">
        <x:f>L100</x:f>
        <x:v>48400</x:v>
      </x:c>
      <x:c r="Y100" s="30" t="n">
        <x:f>SUM(U100:X100)</x:f>
        <x:v>169400</x:v>
      </x:c>
    </x:row>
    <x:row r="101">
      <x:c r="A101" t="str">
        <x:v>Short Term Contract</x:v>
      </x:c>
      <x:c r="B101" s="30" t="n">
        <x:v>500000</x:v>
      </x:c>
      <x:c r="C101" s="30" t="n">
        <x:f>Inputs!$G$5</x:f>
        <x:v>1000</x:v>
      </x:c>
      <x:c r="D101" s="20" t="n">
        <x:f>Inputs!$G$4+VLOOKUP(M101,Inputs!$A$4:$B$7,2,FALSE)</x:f>
        <x:v>0.155</x:v>
      </x:c>
      <x:c r="E101" s="30" t="n">
        <x:f>B101*D101*N101/Inputs!$G$8</x:f>
        <x:v>155000</x:v>
      </x:c>
      <x:c r="F101" s="30" t="n">
        <x:f>B101*Inputs!$G$6</x:f>
        <x:v>15000</x:v>
      </x:c>
      <x:c r="G101" t="str">
        <x:v>30 Days</x:v>
      </x:c>
      <x:c r="H101" s="28" t="n">
        <x:v>30</x:v>
      </x:c>
      <x:c r="I101" s="52" t="n">
        <x:f>Inputs!$G$7</x:f>
        <x:v>0.02</x:v>
      </x:c>
      <x:c r="J101" s="52" t="n">
        <x:f>I101/30</x:f>
        <x:v>0.0006666666666666666</x:v>
      </x:c>
      <x:c r="K101" s="52" t="n">
        <x:f>J101*H101</x:f>
        <x:v>0.02</x:v>
      </x:c>
      <x:c r="L101" s="30" t="n">
        <x:f>(B101+E101)*K101</x:f>
        <x:v>13100</x:v>
      </x:c>
      <x:c r="M101" s="30" t="n">
        <x:f>E101</x:f>
        <x:v>155000</x:v>
      </x:c>
      <x:c r="N101" s="30">
        <x:f>R101-C101-F101</x:f>
      </x:c>
      <x:c r="O101" s="20" t="str">
        <x:f>IF(ABS(D101-(Inputs!$G$4+Inputs!$B$4))&lt;0.000001,"Low Risk",IF(ABS(D101-(Inputs!$G$4+Inputs!$B$5))&lt;0.000001,"Moderate Risk",IF(ABS(D101-(Inputs!$G$4+Inputs!$B$6))&lt;0.000001,"High Risk","Worst Scenario")))</x:f>
        <x:v>Low Risk</x:v>
      </x:c>
      <x:c r="P101" s="28" t="n">
        <x:f>IF(A101="Purchase Order Funding",Inputs!$G$13,IF(B101=500000,180,IF(B101=750000,365,1095)))</x:f>
        <x:v>180</x:v>
      </x:c>
      <x:c r="Q101" s="20" t="n">
        <x:f>D101</x:f>
        <x:v>0.155</x:v>
      </x:c>
      <x:c r="R101" s="30" t="n">
        <x:f>B101+C101+E101+F101+L101</x:f>
        <x:v>684100</x:v>
      </x:c>
      <x:c r="S101" s="30" t="n">
        <x:f>(B101+E101)*J101</x:f>
        <x:v>436.66666666666663</x:v>
      </x:c>
      <x:c r="T101" s="30" t="n">
        <x:f>C101+E101+F101+L101</x:f>
        <x:v>184100</x:v>
      </x:c>
      <x:c r="U101" s="30" t="n">
        <x:f>E101</x:f>
        <x:v>155000</x:v>
      </x:c>
      <x:c r="V101" s="30" t="n">
        <x:f>C101</x:f>
        <x:v>1000</x:v>
      </x:c>
      <x:c r="W101" s="30" t="n">
        <x:f>F101</x:f>
        <x:v>15000</x:v>
      </x:c>
      <x:c r="X101" s="30" t="n">
        <x:f>L101</x:f>
        <x:v>13100</x:v>
      </x:c>
      <x:c r="Y101" s="30" t="n">
        <x:f>SUM(U101:X101)</x:f>
        <x:v>184100</x:v>
      </x:c>
    </x:row>
    <x:row r="102">
      <x:c r="A102" t="str">
        <x:v>Short Term Contract</x:v>
      </x:c>
      <x:c r="B102" s="30" t="n">
        <x:v>500000</x:v>
      </x:c>
      <x:c r="C102" s="30" t="n">
        <x:f>Inputs!$G$5</x:f>
        <x:v>1000</x:v>
      </x:c>
      <x:c r="D102" s="20" t="n">
        <x:f>Inputs!$G$4+VLOOKUP(M102,Inputs!$A$4:$B$7,2,FALSE)</x:f>
        <x:v>0.155</x:v>
      </x:c>
      <x:c r="E102" s="30" t="n">
        <x:f>B102*D102*N102/Inputs!$G$8</x:f>
        <x:v>155000</x:v>
      </x:c>
      <x:c r="F102" s="30" t="n">
        <x:f>B102*Inputs!$G$6</x:f>
        <x:v>15000</x:v>
      </x:c>
      <x:c r="G102" t="str">
        <x:v>60 Days</x:v>
      </x:c>
      <x:c r="H102" s="28" t="n">
        <x:v>60</x:v>
      </x:c>
      <x:c r="I102" s="52" t="n">
        <x:f>Inputs!$G$7</x:f>
        <x:v>0.02</x:v>
      </x:c>
      <x:c r="J102" s="52" t="n">
        <x:f>I102/30</x:f>
        <x:v>0.0006666666666666666</x:v>
      </x:c>
      <x:c r="K102" s="52" t="n">
        <x:f>J102*H102</x:f>
        <x:v>0.04</x:v>
      </x:c>
      <x:c r="L102" s="30" t="n">
        <x:f>(B102+E102)*K102</x:f>
        <x:v>26200</x:v>
      </x:c>
      <x:c r="M102" s="30" t="n">
        <x:f>E102</x:f>
        <x:v>155000</x:v>
      </x:c>
      <x:c r="N102" s="30">
        <x:f>R102-C102-F102</x:f>
      </x:c>
      <x:c r="O102" s="20" t="str">
        <x:f>IF(ABS(D102-(Inputs!$G$4+Inputs!$B$4))&lt;0.000001,"Low Risk",IF(ABS(D102-(Inputs!$G$4+Inputs!$B$5))&lt;0.000001,"Moderate Risk",IF(ABS(D102-(Inputs!$G$4+Inputs!$B$6))&lt;0.000001,"High Risk","Worst Scenario")))</x:f>
        <x:v>Low Risk</x:v>
      </x:c>
      <x:c r="P102" s="28" t="n">
        <x:f>IF(A102="Purchase Order Funding",Inputs!$G$13,IF(B102=500000,180,IF(B102=750000,365,1095)))</x:f>
        <x:v>180</x:v>
      </x:c>
      <x:c r="Q102" s="20" t="n">
        <x:f>D102</x:f>
        <x:v>0.155</x:v>
      </x:c>
      <x:c r="R102" s="30" t="n">
        <x:f>B102+C102+E102+F102+L102</x:f>
        <x:v>697200</x:v>
      </x:c>
      <x:c r="S102" s="30" t="n">
        <x:f>(B102+E102)*J102</x:f>
        <x:v>436.66666666666663</x:v>
      </x:c>
      <x:c r="T102" s="30" t="n">
        <x:f>C102+E102+F102+L102</x:f>
        <x:v>197200</x:v>
      </x:c>
      <x:c r="U102" s="30" t="n">
        <x:f>E102</x:f>
        <x:v>155000</x:v>
      </x:c>
      <x:c r="V102" s="30" t="n">
        <x:f>C102</x:f>
        <x:v>1000</x:v>
      </x:c>
      <x:c r="W102" s="30" t="n">
        <x:f>F102</x:f>
        <x:v>15000</x:v>
      </x:c>
      <x:c r="X102" s="30" t="n">
        <x:f>L102</x:f>
        <x:v>26200</x:v>
      </x:c>
      <x:c r="Y102" s="30" t="n">
        <x:f>SUM(U102:X102)</x:f>
        <x:v>197200</x:v>
      </x:c>
    </x:row>
    <x:row r="103">
      <x:c r="A103" t="str">
        <x:v>Short Term Contract</x:v>
      </x:c>
      <x:c r="B103" s="30" t="n">
        <x:v>500000</x:v>
      </x:c>
      <x:c r="C103" s="30" t="n">
        <x:f>Inputs!$G$5</x:f>
        <x:v>1000</x:v>
      </x:c>
      <x:c r="D103" s="20" t="n">
        <x:f>Inputs!$G$4+VLOOKUP(M103,Inputs!$A$4:$B$7,2,FALSE)</x:f>
        <x:v>0.155</x:v>
      </x:c>
      <x:c r="E103" s="30" t="n">
        <x:f>B103*D103*N103/Inputs!$G$8</x:f>
        <x:v>155000</x:v>
      </x:c>
      <x:c r="F103" s="30" t="n">
        <x:f>B103*Inputs!$G$6</x:f>
        <x:v>15000</x:v>
      </x:c>
      <x:c r="G103" t="str">
        <x:v>90 Days</x:v>
      </x:c>
      <x:c r="H103" s="28" t="n">
        <x:v>90</x:v>
      </x:c>
      <x:c r="I103" s="52" t="n">
        <x:f>Inputs!$G$7</x:f>
        <x:v>0.02</x:v>
      </x:c>
      <x:c r="J103" s="52" t="n">
        <x:f>I103/30</x:f>
        <x:v>0.0006666666666666666</x:v>
      </x:c>
      <x:c r="K103" s="52" t="n">
        <x:f>J103*H103</x:f>
        <x:v>0.06</x:v>
      </x:c>
      <x:c r="L103" s="30" t="n">
        <x:f>(B103+E103)*K103</x:f>
        <x:v>39300</x:v>
      </x:c>
      <x:c r="M103" s="30" t="n">
        <x:f>E103</x:f>
        <x:v>155000</x:v>
      </x:c>
      <x:c r="N103" s="30">
        <x:f>R103-C103-F103</x:f>
      </x:c>
      <x:c r="O103" s="20" t="str">
        <x:f>IF(ABS(D103-(Inputs!$G$4+Inputs!$B$4))&lt;0.000001,"Low Risk",IF(ABS(D103-(Inputs!$G$4+Inputs!$B$5))&lt;0.000001,"Moderate Risk",IF(ABS(D103-(Inputs!$G$4+Inputs!$B$6))&lt;0.000001,"High Risk","Worst Scenario")))</x:f>
        <x:v>Low Risk</x:v>
      </x:c>
      <x:c r="P103" s="28" t="n">
        <x:f>IF(A103="Purchase Order Funding",Inputs!$G$13,IF(B103=500000,180,IF(B103=750000,365,1095)))</x:f>
        <x:v>180</x:v>
      </x:c>
      <x:c r="Q103" s="20" t="n">
        <x:f>D103</x:f>
        <x:v>0.155</x:v>
      </x:c>
      <x:c r="R103" s="30" t="n">
        <x:f>B103+C103+E103+F103+L103</x:f>
        <x:v>710300</x:v>
      </x:c>
      <x:c r="S103" s="30" t="n">
        <x:f>(B103+E103)*J103</x:f>
        <x:v>436.66666666666663</x:v>
      </x:c>
      <x:c r="T103" s="30" t="n">
        <x:f>C103+E103+F103+L103</x:f>
        <x:v>210300</x:v>
      </x:c>
      <x:c r="U103" s="30" t="n">
        <x:f>E103</x:f>
        <x:v>155000</x:v>
      </x:c>
      <x:c r="V103" s="30" t="n">
        <x:f>C103</x:f>
        <x:v>1000</x:v>
      </x:c>
      <x:c r="W103" s="30" t="n">
        <x:f>F103</x:f>
        <x:v>15000</x:v>
      </x:c>
      <x:c r="X103" s="30" t="n">
        <x:f>L103</x:f>
        <x:v>39300</x:v>
      </x:c>
      <x:c r="Y103" s="30" t="n">
        <x:f>SUM(U103:X103)</x:f>
        <x:v>210300</x:v>
      </x:c>
    </x:row>
    <x:row r="104">
      <x:c r="A104" t="str">
        <x:v>Short Term Contract</x:v>
      </x:c>
      <x:c r="B104" s="30" t="n">
        <x:v>500000</x:v>
      </x:c>
      <x:c r="C104" s="30" t="n">
        <x:f>Inputs!$G$5</x:f>
        <x:v>1000</x:v>
      </x:c>
      <x:c r="D104" s="20" t="n">
        <x:f>Inputs!$G$4+VLOOKUP(M104,Inputs!$A$4:$B$7,2,FALSE)</x:f>
        <x:v>0.155</x:v>
      </x:c>
      <x:c r="E104" s="30" t="n">
        <x:f>B104*D104*N104/Inputs!$G$8</x:f>
        <x:v>155000</x:v>
      </x:c>
      <x:c r="F104" s="30" t="n">
        <x:f>B104*Inputs!$G$6</x:f>
        <x:v>15000</x:v>
      </x:c>
      <x:c r="G104" t="str">
        <x:v>120 Days</x:v>
      </x:c>
      <x:c r="H104" s="28" t="n">
        <x:v>120</x:v>
      </x:c>
      <x:c r="I104" s="52" t="n">
        <x:f>Inputs!$G$7</x:f>
        <x:v>0.02</x:v>
      </x:c>
      <x:c r="J104" s="52" t="n">
        <x:f>I104/30</x:f>
        <x:v>0.0006666666666666666</x:v>
      </x:c>
      <x:c r="K104" s="52" t="n">
        <x:f>J104*H104</x:f>
        <x:v>0.08</x:v>
      </x:c>
      <x:c r="L104" s="30" t="n">
        <x:f>(B104+E104)*K104</x:f>
        <x:v>52400</x:v>
      </x:c>
      <x:c r="M104" s="30" t="n">
        <x:f>E104</x:f>
        <x:v>155000</x:v>
      </x:c>
      <x:c r="N104" s="30">
        <x:f>R104-C104-F104</x:f>
      </x:c>
      <x:c r="O104" s="20" t="str">
        <x:f>IF(ABS(D104-(Inputs!$G$4+Inputs!$B$4))&lt;0.000001,"Low Risk",IF(ABS(D104-(Inputs!$G$4+Inputs!$B$5))&lt;0.000001,"Moderate Risk",IF(ABS(D104-(Inputs!$G$4+Inputs!$B$6))&lt;0.000001,"High Risk","Worst Scenario")))</x:f>
        <x:v>Low Risk</x:v>
      </x:c>
      <x:c r="P104" s="28" t="n">
        <x:f>IF(A104="Purchase Order Funding",Inputs!$G$13,IF(B104=500000,180,IF(B104=750000,365,1095)))</x:f>
        <x:v>180</x:v>
      </x:c>
      <x:c r="Q104" s="20" t="n">
        <x:f>D104</x:f>
        <x:v>0.155</x:v>
      </x:c>
      <x:c r="R104" s="30" t="n">
        <x:f>B104+C104+E104+F104+L104</x:f>
        <x:v>723400</x:v>
      </x:c>
      <x:c r="S104" s="30" t="n">
        <x:f>(B104+E104)*J104</x:f>
        <x:v>436.66666666666663</x:v>
      </x:c>
      <x:c r="T104" s="30" t="n">
        <x:f>C104+E104+F104+L104</x:f>
        <x:v>223400</x:v>
      </x:c>
      <x:c r="U104" s="30" t="n">
        <x:f>E104</x:f>
        <x:v>155000</x:v>
      </x:c>
      <x:c r="V104" s="30" t="n">
        <x:f>C104</x:f>
        <x:v>1000</x:v>
      </x:c>
      <x:c r="W104" s="30" t="n">
        <x:f>F104</x:f>
        <x:v>15000</x:v>
      </x:c>
      <x:c r="X104" s="30" t="n">
        <x:f>L104</x:f>
        <x:v>52400</x:v>
      </x:c>
      <x:c r="Y104" s="30" t="n">
        <x:f>SUM(U104:X104)</x:f>
        <x:v>223400</x:v>
      </x:c>
    </x:row>
    <x:row r="105">
      <x:c r="A105" t="str">
        <x:v>Short Term Contract</x:v>
      </x:c>
      <x:c r="B105" s="30" t="n">
        <x:v>500000</x:v>
      </x:c>
      <x:c r="C105" s="30" t="n">
        <x:f>Inputs!$G$5</x:f>
        <x:v>1000</x:v>
      </x:c>
      <x:c r="D105" s="20" t="n">
        <x:f>Inputs!$G$4+VLOOKUP(M105,Inputs!$A$4:$B$7,2,FALSE)</x:f>
        <x:v>0.16999999999999998</x:v>
      </x:c>
      <x:c r="E105" s="30" t="n">
        <x:f>B105*D105*N105/Inputs!$G$8</x:f>
        <x:v>169999.99999999997</x:v>
      </x:c>
      <x:c r="F105" s="30" t="n">
        <x:f>B105*Inputs!$G$6</x:f>
        <x:v>15000</x:v>
      </x:c>
      <x:c r="G105" t="str">
        <x:v>30 Days</x:v>
      </x:c>
      <x:c r="H105" s="28" t="n">
        <x:v>30</x:v>
      </x:c>
      <x:c r="I105" s="52" t="n">
        <x:f>Inputs!$G$7</x:f>
        <x:v>0.02</x:v>
      </x:c>
      <x:c r="J105" s="52" t="n">
        <x:f>I105/30</x:f>
        <x:v>0.0006666666666666666</x:v>
      </x:c>
      <x:c r="K105" s="52" t="n">
        <x:f>J105*H105</x:f>
        <x:v>0.02</x:v>
      </x:c>
      <x:c r="L105" s="30" t="n">
        <x:f>(B105+E105)*K105</x:f>
        <x:v>13400</x:v>
      </x:c>
      <x:c r="M105" s="30" t="n">
        <x:f>E105</x:f>
        <x:v>169999.99999999997</x:v>
      </x:c>
      <x:c r="N105" s="30">
        <x:f>R105-C105-F105</x:f>
      </x:c>
      <x:c r="O105" s="20" t="str">
        <x:f>IF(ABS(D105-(Inputs!$G$4+Inputs!$B$4))&lt;0.000001,"Low Risk",IF(ABS(D105-(Inputs!$G$4+Inputs!$B$5))&lt;0.000001,"Moderate Risk",IF(ABS(D105-(Inputs!$G$4+Inputs!$B$6))&lt;0.000001,"High Risk","Worst Scenario")))</x:f>
        <x:v>Moderate Risk</x:v>
      </x:c>
      <x:c r="P105" s="28" t="n">
        <x:f>IF(A105="Purchase Order Funding",Inputs!$G$13,IF(B105=500000,180,IF(B105=750000,365,1095)))</x:f>
        <x:v>180</x:v>
      </x:c>
      <x:c r="Q105" s="20" t="n">
        <x:f>D105</x:f>
        <x:v>0.16999999999999998</x:v>
      </x:c>
      <x:c r="R105" s="30" t="n">
        <x:f>B105+C105+E105+F105+L105</x:f>
        <x:v>699400</x:v>
      </x:c>
      <x:c r="S105" s="30" t="n">
        <x:f>(B105+E105)*J105</x:f>
        <x:v>446.66666666666663</x:v>
      </x:c>
      <x:c r="T105" s="30" t="n">
        <x:f>C105+E105+F105+L105</x:f>
        <x:v>199399.99999999997</x:v>
      </x:c>
      <x:c r="U105" s="30" t="n">
        <x:f>E105</x:f>
        <x:v>169999.99999999997</x:v>
      </x:c>
      <x:c r="V105" s="30" t="n">
        <x:f>C105</x:f>
        <x:v>1000</x:v>
      </x:c>
      <x:c r="W105" s="30" t="n">
        <x:f>F105</x:f>
        <x:v>15000</x:v>
      </x:c>
      <x:c r="X105" s="30" t="n">
        <x:f>L105</x:f>
        <x:v>13400</x:v>
      </x:c>
      <x:c r="Y105" s="30" t="n">
        <x:f>SUM(U105:X105)</x:f>
        <x:v>199399.99999999997</x:v>
      </x:c>
    </x:row>
    <x:row r="106">
      <x:c r="A106" t="str">
        <x:v>Short Term Contract</x:v>
      </x:c>
      <x:c r="B106" s="30" t="n">
        <x:v>500000</x:v>
      </x:c>
      <x:c r="C106" s="30" t="n">
        <x:f>Inputs!$G$5</x:f>
        <x:v>1000</x:v>
      </x:c>
      <x:c r="D106" s="20" t="n">
        <x:f>Inputs!$G$4+VLOOKUP(M106,Inputs!$A$4:$B$7,2,FALSE)</x:f>
        <x:v>0.16999999999999998</x:v>
      </x:c>
      <x:c r="E106" s="30" t="n">
        <x:f>B106*D106*N106/Inputs!$G$8</x:f>
        <x:v>169999.99999999997</x:v>
      </x:c>
      <x:c r="F106" s="30" t="n">
        <x:f>B106*Inputs!$G$6</x:f>
        <x:v>15000</x:v>
      </x:c>
      <x:c r="G106" t="str">
        <x:v>60 Days</x:v>
      </x:c>
      <x:c r="H106" s="28" t="n">
        <x:v>60</x:v>
      </x:c>
      <x:c r="I106" s="52" t="n">
        <x:f>Inputs!$G$7</x:f>
        <x:v>0.02</x:v>
      </x:c>
      <x:c r="J106" s="52" t="n">
        <x:f>I106/30</x:f>
        <x:v>0.0006666666666666666</x:v>
      </x:c>
      <x:c r="K106" s="52" t="n">
        <x:f>J106*H106</x:f>
        <x:v>0.04</x:v>
      </x:c>
      <x:c r="L106" s="30" t="n">
        <x:f>(B106+E106)*K106</x:f>
        <x:v>26800</x:v>
      </x:c>
      <x:c r="M106" s="30" t="n">
        <x:f>E106</x:f>
        <x:v>169999.99999999997</x:v>
      </x:c>
      <x:c r="N106" s="30">
        <x:f>R106-C106-F106</x:f>
      </x:c>
      <x:c r="O106" s="20" t="str">
        <x:f>IF(ABS(D106-(Inputs!$G$4+Inputs!$B$4))&lt;0.000001,"Low Risk",IF(ABS(D106-(Inputs!$G$4+Inputs!$B$5))&lt;0.000001,"Moderate Risk",IF(ABS(D106-(Inputs!$G$4+Inputs!$B$6))&lt;0.000001,"High Risk","Worst Scenario")))</x:f>
        <x:v>Moderate Risk</x:v>
      </x:c>
      <x:c r="P106" s="28" t="n">
        <x:f>IF(A106="Purchase Order Funding",Inputs!$G$13,IF(B106=500000,180,IF(B106=750000,365,1095)))</x:f>
        <x:v>180</x:v>
      </x:c>
      <x:c r="Q106" s="20" t="n">
        <x:f>D106</x:f>
        <x:v>0.16999999999999998</x:v>
      </x:c>
      <x:c r="R106" s="30" t="n">
        <x:f>B106+C106+E106+F106+L106</x:f>
        <x:v>712800</x:v>
      </x:c>
      <x:c r="S106" s="30" t="n">
        <x:f>(B106+E106)*J106</x:f>
        <x:v>446.66666666666663</x:v>
      </x:c>
      <x:c r="T106" s="30" t="n">
        <x:f>C106+E106+F106+L106</x:f>
        <x:v>212799.99999999997</x:v>
      </x:c>
      <x:c r="U106" s="30" t="n">
        <x:f>E106</x:f>
        <x:v>169999.99999999997</x:v>
      </x:c>
      <x:c r="V106" s="30" t="n">
        <x:f>C106</x:f>
        <x:v>1000</x:v>
      </x:c>
      <x:c r="W106" s="30" t="n">
        <x:f>F106</x:f>
        <x:v>15000</x:v>
      </x:c>
      <x:c r="X106" s="30" t="n">
        <x:f>L106</x:f>
        <x:v>26800</x:v>
      </x:c>
      <x:c r="Y106" s="30" t="n">
        <x:f>SUM(U106:X106)</x:f>
        <x:v>212799.99999999997</x:v>
      </x:c>
    </x:row>
    <x:row r="107">
      <x:c r="A107" t="str">
        <x:v>Short Term Contract</x:v>
      </x:c>
      <x:c r="B107" s="30" t="n">
        <x:v>500000</x:v>
      </x:c>
      <x:c r="C107" s="30" t="n">
        <x:f>Inputs!$G$5</x:f>
        <x:v>1000</x:v>
      </x:c>
      <x:c r="D107" s="20" t="n">
        <x:f>Inputs!$G$4+VLOOKUP(M107,Inputs!$A$4:$B$7,2,FALSE)</x:f>
        <x:v>0.16999999999999998</x:v>
      </x:c>
      <x:c r="E107" s="30" t="n">
        <x:f>B107*D107*N107/Inputs!$G$8</x:f>
        <x:v>169999.99999999997</x:v>
      </x:c>
      <x:c r="F107" s="30" t="n">
        <x:f>B107*Inputs!$G$6</x:f>
        <x:v>15000</x:v>
      </x:c>
      <x:c r="G107" t="str">
        <x:v>90 Days</x:v>
      </x:c>
      <x:c r="H107" s="28" t="n">
        <x:v>90</x:v>
      </x:c>
      <x:c r="I107" s="52" t="n">
        <x:f>Inputs!$G$7</x:f>
        <x:v>0.02</x:v>
      </x:c>
      <x:c r="J107" s="52" t="n">
        <x:f>I107/30</x:f>
        <x:v>0.0006666666666666666</x:v>
      </x:c>
      <x:c r="K107" s="52" t="n">
        <x:f>J107*H107</x:f>
        <x:v>0.06</x:v>
      </x:c>
      <x:c r="L107" s="30" t="n">
        <x:f>(B107+E107)*K107</x:f>
        <x:v>40200</x:v>
      </x:c>
      <x:c r="M107" s="30" t="n">
        <x:f>E107</x:f>
        <x:v>169999.99999999997</x:v>
      </x:c>
      <x:c r="N107" s="30">
        <x:f>R107-C107-F107</x:f>
      </x:c>
      <x:c r="O107" s="20" t="str">
        <x:f>IF(ABS(D107-(Inputs!$G$4+Inputs!$B$4))&lt;0.000001,"Low Risk",IF(ABS(D107-(Inputs!$G$4+Inputs!$B$5))&lt;0.000001,"Moderate Risk",IF(ABS(D107-(Inputs!$G$4+Inputs!$B$6))&lt;0.000001,"High Risk","Worst Scenario")))</x:f>
        <x:v>Moderate Risk</x:v>
      </x:c>
      <x:c r="P107" s="28" t="n">
        <x:f>IF(A107="Purchase Order Funding",Inputs!$G$13,IF(B107=500000,180,IF(B107=750000,365,1095)))</x:f>
        <x:v>180</x:v>
      </x:c>
      <x:c r="Q107" s="20" t="n">
        <x:f>D107</x:f>
        <x:v>0.16999999999999998</x:v>
      </x:c>
      <x:c r="R107" s="30" t="n">
        <x:f>B107+C107+E107+F107+L107</x:f>
        <x:v>726200</x:v>
      </x:c>
      <x:c r="S107" s="30" t="n">
        <x:f>(B107+E107)*J107</x:f>
        <x:v>446.66666666666663</x:v>
      </x:c>
      <x:c r="T107" s="30" t="n">
        <x:f>C107+E107+F107+L107</x:f>
        <x:v>226199.99999999997</x:v>
      </x:c>
      <x:c r="U107" s="30" t="n">
        <x:f>E107</x:f>
        <x:v>169999.99999999997</x:v>
      </x:c>
      <x:c r="V107" s="30" t="n">
        <x:f>C107</x:f>
        <x:v>1000</x:v>
      </x:c>
      <x:c r="W107" s="30" t="n">
        <x:f>F107</x:f>
        <x:v>15000</x:v>
      </x:c>
      <x:c r="X107" s="30" t="n">
        <x:f>L107</x:f>
        <x:v>40200</x:v>
      </x:c>
      <x:c r="Y107" s="30" t="n">
        <x:f>SUM(U107:X107)</x:f>
        <x:v>226199.99999999997</x:v>
      </x:c>
    </x:row>
    <x:row r="108">
      <x:c r="A108" t="str">
        <x:v>Short Term Contract</x:v>
      </x:c>
      <x:c r="B108" s="30" t="n">
        <x:v>500000</x:v>
      </x:c>
      <x:c r="C108" s="30" t="n">
        <x:f>Inputs!$G$5</x:f>
        <x:v>1000</x:v>
      </x:c>
      <x:c r="D108" s="20" t="n">
        <x:f>Inputs!$G$4+VLOOKUP(M108,Inputs!$A$4:$B$7,2,FALSE)</x:f>
        <x:v>0.16999999999999998</x:v>
      </x:c>
      <x:c r="E108" s="30" t="n">
        <x:f>B108*D108*N108/Inputs!$G$8</x:f>
        <x:v>169999.99999999997</x:v>
      </x:c>
      <x:c r="F108" s="30" t="n">
        <x:f>B108*Inputs!$G$6</x:f>
        <x:v>15000</x:v>
      </x:c>
      <x:c r="G108" t="str">
        <x:v>120 Days</x:v>
      </x:c>
      <x:c r="H108" s="28" t="n">
        <x:v>120</x:v>
      </x:c>
      <x:c r="I108" s="52" t="n">
        <x:f>Inputs!$G$7</x:f>
        <x:v>0.02</x:v>
      </x:c>
      <x:c r="J108" s="52" t="n">
        <x:f>I108/30</x:f>
        <x:v>0.0006666666666666666</x:v>
      </x:c>
      <x:c r="K108" s="52" t="n">
        <x:f>J108*H108</x:f>
        <x:v>0.08</x:v>
      </x:c>
      <x:c r="L108" s="30" t="n">
        <x:f>(B108+E108)*K108</x:f>
        <x:v>53600</x:v>
      </x:c>
      <x:c r="M108" s="30" t="n">
        <x:f>E108</x:f>
        <x:v>169999.99999999997</x:v>
      </x:c>
      <x:c r="N108" s="30">
        <x:f>R108-C108-F108</x:f>
      </x:c>
      <x:c r="O108" s="20" t="str">
        <x:f>IF(ABS(D108-(Inputs!$G$4+Inputs!$B$4))&lt;0.000001,"Low Risk",IF(ABS(D108-(Inputs!$G$4+Inputs!$B$5))&lt;0.000001,"Moderate Risk",IF(ABS(D108-(Inputs!$G$4+Inputs!$B$6))&lt;0.000001,"High Risk","Worst Scenario")))</x:f>
        <x:v>Moderate Risk</x:v>
      </x:c>
      <x:c r="P108" s="28" t="n">
        <x:f>IF(A108="Purchase Order Funding",Inputs!$G$13,IF(B108=500000,180,IF(B108=750000,365,1095)))</x:f>
        <x:v>180</x:v>
      </x:c>
      <x:c r="Q108" s="20" t="n">
        <x:f>D108</x:f>
        <x:v>0.16999999999999998</x:v>
      </x:c>
      <x:c r="R108" s="30" t="n">
        <x:f>B108+C108+E108+F108+L108</x:f>
        <x:v>739600</x:v>
      </x:c>
      <x:c r="S108" s="30" t="n">
        <x:f>(B108+E108)*J108</x:f>
        <x:v>446.66666666666663</x:v>
      </x:c>
      <x:c r="T108" s="30" t="n">
        <x:f>C108+E108+F108+L108</x:f>
        <x:v>239599.99999999997</x:v>
      </x:c>
      <x:c r="U108" s="30" t="n">
        <x:f>E108</x:f>
        <x:v>169999.99999999997</x:v>
      </x:c>
      <x:c r="V108" s="30" t="n">
        <x:f>C108</x:f>
        <x:v>1000</x:v>
      </x:c>
      <x:c r="W108" s="30" t="n">
        <x:f>F108</x:f>
        <x:v>15000</x:v>
      </x:c>
      <x:c r="X108" s="30" t="n">
        <x:f>L108</x:f>
        <x:v>53600</x:v>
      </x:c>
      <x:c r="Y108" s="30" t="n">
        <x:f>SUM(U108:X108)</x:f>
        <x:v>239599.99999999997</x:v>
      </x:c>
    </x:row>
    <x:row r="109">
      <x:c r="A109" t="str">
        <x:v>Short Term Contract</x:v>
      </x:c>
      <x:c r="B109" s="30" t="n">
        <x:v>500000</x:v>
      </x:c>
      <x:c r="C109" s="30" t="n">
        <x:f>Inputs!$G$5</x:f>
        <x:v>1000</x:v>
      </x:c>
      <x:c r="D109" s="20" t="n">
        <x:f>Inputs!$G$4+VLOOKUP(M109,Inputs!$A$4:$B$7,2,FALSE)</x:f>
        <x:v>0.19</x:v>
      </x:c>
      <x:c r="E109" s="30" t="n">
        <x:f>B109*D109*N109/Inputs!$G$8</x:f>
        <x:v>190000</x:v>
      </x:c>
      <x:c r="F109" s="30" t="n">
        <x:f>B109*Inputs!$G$6</x:f>
        <x:v>15000</x:v>
      </x:c>
      <x:c r="G109" t="str">
        <x:v>30 Days</x:v>
      </x:c>
      <x:c r="H109" s="28" t="n">
        <x:v>30</x:v>
      </x:c>
      <x:c r="I109" s="52" t="n">
        <x:f>Inputs!$G$7</x:f>
        <x:v>0.02</x:v>
      </x:c>
      <x:c r="J109" s="52" t="n">
        <x:f>I109/30</x:f>
        <x:v>0.0006666666666666666</x:v>
      </x:c>
      <x:c r="K109" s="52" t="n">
        <x:f>J109*H109</x:f>
        <x:v>0.02</x:v>
      </x:c>
      <x:c r="L109" s="30" t="n">
        <x:f>(B109+E109)*K109</x:f>
        <x:v>13800</x:v>
      </x:c>
      <x:c r="M109" s="30" t="n">
        <x:f>E109</x:f>
        <x:v>190000</x:v>
      </x:c>
      <x:c r="N109" s="30">
        <x:f>R109-C109-F109</x:f>
      </x:c>
      <x:c r="O109" s="20" t="str">
        <x:f>IF(ABS(D109-(Inputs!$G$4+Inputs!$B$4))&lt;0.000001,"Low Risk",IF(ABS(D109-(Inputs!$G$4+Inputs!$B$5))&lt;0.000001,"Moderate Risk",IF(ABS(D109-(Inputs!$G$4+Inputs!$B$6))&lt;0.000001,"High Risk","Worst Scenario")))</x:f>
        <x:v>High Risk</x:v>
      </x:c>
      <x:c r="P109" s="28" t="n">
        <x:f>IF(A109="Purchase Order Funding",Inputs!$G$13,IF(B109=500000,180,IF(B109=750000,365,1095)))</x:f>
        <x:v>180</x:v>
      </x:c>
      <x:c r="Q109" s="20" t="n">
        <x:f>D109</x:f>
        <x:v>0.19</x:v>
      </x:c>
      <x:c r="R109" s="30" t="n">
        <x:f>B109+C109+E109+F109+L109</x:f>
        <x:v>719800</x:v>
      </x:c>
      <x:c r="S109" s="30" t="n">
        <x:f>(B109+E109)*J109</x:f>
        <x:v>460</x:v>
      </x:c>
      <x:c r="T109" s="30" t="n">
        <x:f>C109+E109+F109+L109</x:f>
        <x:v>219800</x:v>
      </x:c>
      <x:c r="U109" s="30" t="n">
        <x:f>E109</x:f>
        <x:v>190000</x:v>
      </x:c>
      <x:c r="V109" s="30" t="n">
        <x:f>C109</x:f>
        <x:v>1000</x:v>
      </x:c>
      <x:c r="W109" s="30" t="n">
        <x:f>F109</x:f>
        <x:v>15000</x:v>
      </x:c>
      <x:c r="X109" s="30" t="n">
        <x:f>L109</x:f>
        <x:v>13800</x:v>
      </x:c>
      <x:c r="Y109" s="30" t="n">
        <x:f>SUM(U109:X109)</x:f>
        <x:v>219800</x:v>
      </x:c>
    </x:row>
    <x:row r="110">
      <x:c r="A110" t="str">
        <x:v>Short Term Contract</x:v>
      </x:c>
      <x:c r="B110" s="30" t="n">
        <x:v>500000</x:v>
      </x:c>
      <x:c r="C110" s="30" t="n">
        <x:f>Inputs!$G$5</x:f>
        <x:v>1000</x:v>
      </x:c>
      <x:c r="D110" s="20" t="n">
        <x:f>Inputs!$G$4+VLOOKUP(M110,Inputs!$A$4:$B$7,2,FALSE)</x:f>
        <x:v>0.19</x:v>
      </x:c>
      <x:c r="E110" s="30" t="n">
        <x:f>B110*D110*N110/Inputs!$G$8</x:f>
        <x:v>190000</x:v>
      </x:c>
      <x:c r="F110" s="30" t="n">
        <x:f>B110*Inputs!$G$6</x:f>
        <x:v>15000</x:v>
      </x:c>
      <x:c r="G110" t="str">
        <x:v>60 Days</x:v>
      </x:c>
      <x:c r="H110" s="28" t="n">
        <x:v>60</x:v>
      </x:c>
      <x:c r="I110" s="52" t="n">
        <x:f>Inputs!$G$7</x:f>
        <x:v>0.02</x:v>
      </x:c>
      <x:c r="J110" s="52" t="n">
        <x:f>I110/30</x:f>
        <x:v>0.0006666666666666666</x:v>
      </x:c>
      <x:c r="K110" s="52" t="n">
        <x:f>J110*H110</x:f>
        <x:v>0.04</x:v>
      </x:c>
      <x:c r="L110" s="30" t="n">
        <x:f>(B110+E110)*K110</x:f>
        <x:v>27600</x:v>
      </x:c>
      <x:c r="M110" s="30" t="n">
        <x:f>E110</x:f>
        <x:v>190000</x:v>
      </x:c>
      <x:c r="N110" s="30">
        <x:f>R110-C110-F110</x:f>
      </x:c>
      <x:c r="O110" s="20" t="str">
        <x:f>IF(ABS(D110-(Inputs!$G$4+Inputs!$B$4))&lt;0.000001,"Low Risk",IF(ABS(D110-(Inputs!$G$4+Inputs!$B$5))&lt;0.000001,"Moderate Risk",IF(ABS(D110-(Inputs!$G$4+Inputs!$B$6))&lt;0.000001,"High Risk","Worst Scenario")))</x:f>
        <x:v>High Risk</x:v>
      </x:c>
      <x:c r="P110" s="28" t="n">
        <x:f>IF(A110="Purchase Order Funding",Inputs!$G$13,IF(B110=500000,180,IF(B110=750000,365,1095)))</x:f>
        <x:v>180</x:v>
      </x:c>
      <x:c r="Q110" s="20" t="n">
        <x:f>D110</x:f>
        <x:v>0.19</x:v>
      </x:c>
      <x:c r="R110" s="30" t="n">
        <x:f>B110+C110+E110+F110+L110</x:f>
        <x:v>733600</x:v>
      </x:c>
      <x:c r="S110" s="30" t="n">
        <x:f>(B110+E110)*J110</x:f>
        <x:v>460</x:v>
      </x:c>
      <x:c r="T110" s="30" t="n">
        <x:f>C110+E110+F110+L110</x:f>
        <x:v>233600</x:v>
      </x:c>
      <x:c r="U110" s="30" t="n">
        <x:f>E110</x:f>
        <x:v>190000</x:v>
      </x:c>
      <x:c r="V110" s="30" t="n">
        <x:f>C110</x:f>
        <x:v>1000</x:v>
      </x:c>
      <x:c r="W110" s="30" t="n">
        <x:f>F110</x:f>
        <x:v>15000</x:v>
      </x:c>
      <x:c r="X110" s="30" t="n">
        <x:f>L110</x:f>
        <x:v>27600</x:v>
      </x:c>
      <x:c r="Y110" s="30" t="n">
        <x:f>SUM(U110:X110)</x:f>
        <x:v>233600</x:v>
      </x:c>
    </x:row>
    <x:row r="111">
      <x:c r="A111" t="str">
        <x:v>Short Term Contract</x:v>
      </x:c>
      <x:c r="B111" s="30" t="n">
        <x:v>500000</x:v>
      </x:c>
      <x:c r="C111" s="30" t="n">
        <x:f>Inputs!$G$5</x:f>
        <x:v>1000</x:v>
      </x:c>
      <x:c r="D111" s="20" t="n">
        <x:f>Inputs!$G$4+VLOOKUP(M111,Inputs!$A$4:$B$7,2,FALSE)</x:f>
        <x:v>0.19</x:v>
      </x:c>
      <x:c r="E111" s="30" t="n">
        <x:f>B111*D111*N111/Inputs!$G$8</x:f>
        <x:v>190000</x:v>
      </x:c>
      <x:c r="F111" s="30" t="n">
        <x:f>B111*Inputs!$G$6</x:f>
        <x:v>15000</x:v>
      </x:c>
      <x:c r="G111" t="str">
        <x:v>90 Days</x:v>
      </x:c>
      <x:c r="H111" s="28" t="n">
        <x:v>90</x:v>
      </x:c>
      <x:c r="I111" s="52" t="n">
        <x:f>Inputs!$G$7</x:f>
        <x:v>0.02</x:v>
      </x:c>
      <x:c r="J111" s="52" t="n">
        <x:f>I111/30</x:f>
        <x:v>0.0006666666666666666</x:v>
      </x:c>
      <x:c r="K111" s="52" t="n">
        <x:f>J111*H111</x:f>
        <x:v>0.06</x:v>
      </x:c>
      <x:c r="L111" s="30" t="n">
        <x:f>(B111+E111)*K111</x:f>
        <x:v>41400</x:v>
      </x:c>
      <x:c r="M111" s="30" t="n">
        <x:f>E111</x:f>
        <x:v>190000</x:v>
      </x:c>
      <x:c r="N111" s="30">
        <x:f>R111-C111-F111</x:f>
      </x:c>
      <x:c r="O111" s="20" t="str">
        <x:f>IF(ABS(D111-(Inputs!$G$4+Inputs!$B$4))&lt;0.000001,"Low Risk",IF(ABS(D111-(Inputs!$G$4+Inputs!$B$5))&lt;0.000001,"Moderate Risk",IF(ABS(D111-(Inputs!$G$4+Inputs!$B$6))&lt;0.000001,"High Risk","Worst Scenario")))</x:f>
        <x:v>High Risk</x:v>
      </x:c>
      <x:c r="P111" s="28" t="n">
        <x:f>IF(A111="Purchase Order Funding",Inputs!$G$13,IF(B111=500000,180,IF(B111=750000,365,1095)))</x:f>
        <x:v>180</x:v>
      </x:c>
      <x:c r="Q111" s="20" t="n">
        <x:f>D111</x:f>
        <x:v>0.19</x:v>
      </x:c>
      <x:c r="R111" s="30" t="n">
        <x:f>B111+C111+E111+F111+L111</x:f>
        <x:v>747400</x:v>
      </x:c>
      <x:c r="S111" s="30" t="n">
        <x:f>(B111+E111)*J111</x:f>
        <x:v>460</x:v>
      </x:c>
      <x:c r="T111" s="30" t="n">
        <x:f>C111+E111+F111+L111</x:f>
        <x:v>247400</x:v>
      </x:c>
      <x:c r="U111" s="30" t="n">
        <x:f>E111</x:f>
        <x:v>190000</x:v>
      </x:c>
      <x:c r="V111" s="30" t="n">
        <x:f>C111</x:f>
        <x:v>1000</x:v>
      </x:c>
      <x:c r="W111" s="30" t="n">
        <x:f>F111</x:f>
        <x:v>15000</x:v>
      </x:c>
      <x:c r="X111" s="30" t="n">
        <x:f>L111</x:f>
        <x:v>41400</x:v>
      </x:c>
      <x:c r="Y111" s="30" t="n">
        <x:f>SUM(U111:X111)</x:f>
        <x:v>247400</x:v>
      </x:c>
    </x:row>
    <x:row r="112">
      <x:c r="A112" t="str">
        <x:v>Short Term Contract</x:v>
      </x:c>
      <x:c r="B112" s="30" t="n">
        <x:v>500000</x:v>
      </x:c>
      <x:c r="C112" s="30" t="n">
        <x:f>Inputs!$G$5</x:f>
        <x:v>1000</x:v>
      </x:c>
      <x:c r="D112" s="20" t="n">
        <x:f>Inputs!$G$4+VLOOKUP(M112,Inputs!$A$4:$B$7,2,FALSE)</x:f>
        <x:v>0.19</x:v>
      </x:c>
      <x:c r="E112" s="30" t="n">
        <x:f>B112*D112*N112/Inputs!$G$8</x:f>
        <x:v>190000</x:v>
      </x:c>
      <x:c r="F112" s="30" t="n">
        <x:f>B112*Inputs!$G$6</x:f>
        <x:v>15000</x:v>
      </x:c>
      <x:c r="G112" t="str">
        <x:v>120 Days</x:v>
      </x:c>
      <x:c r="H112" s="28" t="n">
        <x:v>120</x:v>
      </x:c>
      <x:c r="I112" s="52" t="n">
        <x:f>Inputs!$G$7</x:f>
        <x:v>0.02</x:v>
      </x:c>
      <x:c r="J112" s="52" t="n">
        <x:f>I112/30</x:f>
        <x:v>0.0006666666666666666</x:v>
      </x:c>
      <x:c r="K112" s="52" t="n">
        <x:f>J112*H112</x:f>
        <x:v>0.08</x:v>
      </x:c>
      <x:c r="L112" s="30" t="n">
        <x:f>(B112+E112)*K112</x:f>
        <x:v>55200</x:v>
      </x:c>
      <x:c r="M112" s="30" t="n">
        <x:f>E112</x:f>
        <x:v>190000</x:v>
      </x:c>
      <x:c r="N112" s="30">
        <x:f>R112-C112-F112</x:f>
      </x:c>
      <x:c r="O112" s="20" t="str">
        <x:f>IF(ABS(D112-(Inputs!$G$4+Inputs!$B$4))&lt;0.000001,"Low Risk",IF(ABS(D112-(Inputs!$G$4+Inputs!$B$5))&lt;0.000001,"Moderate Risk",IF(ABS(D112-(Inputs!$G$4+Inputs!$B$6))&lt;0.000001,"High Risk","Worst Scenario")))</x:f>
        <x:v>High Risk</x:v>
      </x:c>
      <x:c r="P112" s="28" t="n">
        <x:f>IF(A112="Purchase Order Funding",Inputs!$G$13,IF(B112=500000,180,IF(B112=750000,365,1095)))</x:f>
        <x:v>180</x:v>
      </x:c>
      <x:c r="Q112" s="20" t="n">
        <x:f>D112</x:f>
        <x:v>0.19</x:v>
      </x:c>
      <x:c r="R112" s="30" t="n">
        <x:f>B112+C112+E112+F112+L112</x:f>
        <x:v>761200</x:v>
      </x:c>
      <x:c r="S112" s="30" t="n">
        <x:f>(B112+E112)*J112</x:f>
        <x:v>460</x:v>
      </x:c>
      <x:c r="T112" s="30" t="n">
        <x:f>C112+E112+F112+L112</x:f>
        <x:v>261200</x:v>
      </x:c>
      <x:c r="U112" s="30" t="n">
        <x:f>E112</x:f>
        <x:v>190000</x:v>
      </x:c>
      <x:c r="V112" s="30" t="n">
        <x:f>C112</x:f>
        <x:v>1000</x:v>
      </x:c>
      <x:c r="W112" s="30" t="n">
        <x:f>F112</x:f>
        <x:v>15000</x:v>
      </x:c>
      <x:c r="X112" s="30" t="n">
        <x:f>L112</x:f>
        <x:v>55200</x:v>
      </x:c>
      <x:c r="Y112" s="30" t="n">
        <x:f>SUM(U112:X112)</x:f>
        <x:v>261200</x:v>
      </x:c>
    </x:row>
    <x:row r="113">
      <x:c r="A113" t="str">
        <x:v>Short Term Contract</x:v>
      </x:c>
      <x:c r="B113" s="30" t="n">
        <x:v>500000</x:v>
      </x:c>
      <x:c r="C113" s="30" t="n">
        <x:f>Inputs!$G$5</x:f>
        <x:v>1000</x:v>
      </x:c>
      <x:c r="D113" s="20" t="n">
        <x:f>Inputs!$G$4+VLOOKUP(M113,Inputs!$A$4:$B$7,2,FALSE)</x:f>
        <x:v>0.21</x:v>
      </x:c>
      <x:c r="E113" s="30" t="n">
        <x:f>B113*D113*N113/Inputs!$G$8</x:f>
        <x:v>210000</x:v>
      </x:c>
      <x:c r="F113" s="30" t="n">
        <x:f>B113*Inputs!$G$6</x:f>
        <x:v>15000</x:v>
      </x:c>
      <x:c r="G113" t="str">
        <x:v>30 Days</x:v>
      </x:c>
      <x:c r="H113" s="28" t="n">
        <x:v>30</x:v>
      </x:c>
      <x:c r="I113" s="52" t="n">
        <x:f>Inputs!$G$7</x:f>
        <x:v>0.02</x:v>
      </x:c>
      <x:c r="J113" s="52" t="n">
        <x:f>I113/30</x:f>
        <x:v>0.0006666666666666666</x:v>
      </x:c>
      <x:c r="K113" s="52" t="n">
        <x:f>J113*H113</x:f>
        <x:v>0.02</x:v>
      </x:c>
      <x:c r="L113" s="30" t="n">
        <x:f>(B113+E113)*K113</x:f>
        <x:v>14200</x:v>
      </x:c>
      <x:c r="M113" s="30" t="n">
        <x:f>E113</x:f>
        <x:v>210000</x:v>
      </x:c>
      <x:c r="N113" s="30">
        <x:f>R113-C113-F113</x:f>
      </x:c>
      <x:c r="O113" s="20" t="str">
        <x:f>IF(ABS(D113-(Inputs!$G$4+Inputs!$B$4))&lt;0.000001,"Low Risk",IF(ABS(D113-(Inputs!$G$4+Inputs!$B$5))&lt;0.000001,"Moderate Risk",IF(ABS(D113-(Inputs!$G$4+Inputs!$B$6))&lt;0.000001,"High Risk","Worst Scenario")))</x:f>
        <x:v>Worst Scenario</x:v>
      </x:c>
      <x:c r="P113" s="28" t="n">
        <x:f>IF(A113="Purchase Order Funding",Inputs!$G$13,IF(B113=500000,180,IF(B113=750000,365,1095)))</x:f>
        <x:v>180</x:v>
      </x:c>
      <x:c r="Q113" s="20" t="n">
        <x:f>D113</x:f>
        <x:v>0.21</x:v>
      </x:c>
      <x:c r="R113" s="30" t="n">
        <x:f>B113+C113+E113+F113+L113</x:f>
        <x:v>740200</x:v>
      </x:c>
      <x:c r="S113" s="30" t="n">
        <x:f>(B113+E113)*J113</x:f>
        <x:v>473.3333333333333</x:v>
      </x:c>
      <x:c r="T113" s="30" t="n">
        <x:f>C113+E113+F113+L113</x:f>
        <x:v>240200</x:v>
      </x:c>
      <x:c r="U113" s="30" t="n">
        <x:f>E113</x:f>
        <x:v>210000</x:v>
      </x:c>
      <x:c r="V113" s="30" t="n">
        <x:f>C113</x:f>
        <x:v>1000</x:v>
      </x:c>
      <x:c r="W113" s="30" t="n">
        <x:f>F113</x:f>
        <x:v>15000</x:v>
      </x:c>
      <x:c r="X113" s="30" t="n">
        <x:f>L113</x:f>
        <x:v>14200</x:v>
      </x:c>
      <x:c r="Y113" s="30" t="n">
        <x:f>SUM(U113:X113)</x:f>
        <x:v>240200</x:v>
      </x:c>
    </x:row>
    <x:row r="114">
      <x:c r="A114" t="str">
        <x:v>Short Term Contract</x:v>
      </x:c>
      <x:c r="B114" s="30" t="n">
        <x:v>500000</x:v>
      </x:c>
      <x:c r="C114" s="30" t="n">
        <x:f>Inputs!$G$5</x:f>
        <x:v>1000</x:v>
      </x:c>
      <x:c r="D114" s="20" t="n">
        <x:f>Inputs!$G$4+VLOOKUP(M114,Inputs!$A$4:$B$7,2,FALSE)</x:f>
        <x:v>0.21</x:v>
      </x:c>
      <x:c r="E114" s="30" t="n">
        <x:f>B114*D114*N114/Inputs!$G$8</x:f>
        <x:v>210000</x:v>
      </x:c>
      <x:c r="F114" s="30" t="n">
        <x:f>B114*Inputs!$G$6</x:f>
        <x:v>15000</x:v>
      </x:c>
      <x:c r="G114" t="str">
        <x:v>60 Days</x:v>
      </x:c>
      <x:c r="H114" s="28" t="n">
        <x:v>60</x:v>
      </x:c>
      <x:c r="I114" s="52" t="n">
        <x:f>Inputs!$G$7</x:f>
        <x:v>0.02</x:v>
      </x:c>
      <x:c r="J114" s="52" t="n">
        <x:f>I114/30</x:f>
        <x:v>0.0006666666666666666</x:v>
      </x:c>
      <x:c r="K114" s="52" t="n">
        <x:f>J114*H114</x:f>
        <x:v>0.04</x:v>
      </x:c>
      <x:c r="L114" s="30" t="n">
        <x:f>(B114+E114)*K114</x:f>
        <x:v>28400</x:v>
      </x:c>
      <x:c r="M114" s="30" t="n">
        <x:f>E114</x:f>
        <x:v>210000</x:v>
      </x:c>
      <x:c r="N114" s="30">
        <x:f>R114-C114-F114</x:f>
      </x:c>
      <x:c r="O114" s="20" t="str">
        <x:f>IF(ABS(D114-(Inputs!$G$4+Inputs!$B$4))&lt;0.000001,"Low Risk",IF(ABS(D114-(Inputs!$G$4+Inputs!$B$5))&lt;0.000001,"Moderate Risk",IF(ABS(D114-(Inputs!$G$4+Inputs!$B$6))&lt;0.000001,"High Risk","Worst Scenario")))</x:f>
        <x:v>Worst Scenario</x:v>
      </x:c>
      <x:c r="P114" s="28" t="n">
        <x:f>IF(A114="Purchase Order Funding",Inputs!$G$13,IF(B114=500000,180,IF(B114=750000,365,1095)))</x:f>
        <x:v>180</x:v>
      </x:c>
      <x:c r="Q114" s="20" t="n">
        <x:f>D114</x:f>
        <x:v>0.21</x:v>
      </x:c>
      <x:c r="R114" s="30" t="n">
        <x:f>B114+C114+E114+F114+L114</x:f>
        <x:v>754400</x:v>
      </x:c>
      <x:c r="S114" s="30" t="n">
        <x:f>(B114+E114)*J114</x:f>
        <x:v>473.3333333333333</x:v>
      </x:c>
      <x:c r="T114" s="30" t="n">
        <x:f>C114+E114+F114+L114</x:f>
        <x:v>254400</x:v>
      </x:c>
      <x:c r="U114" s="30" t="n">
        <x:f>E114</x:f>
        <x:v>210000</x:v>
      </x:c>
      <x:c r="V114" s="30" t="n">
        <x:f>C114</x:f>
        <x:v>1000</x:v>
      </x:c>
      <x:c r="W114" s="30" t="n">
        <x:f>F114</x:f>
        <x:v>15000</x:v>
      </x:c>
      <x:c r="X114" s="30" t="n">
        <x:f>L114</x:f>
        <x:v>28400</x:v>
      </x:c>
      <x:c r="Y114" s="30" t="n">
        <x:f>SUM(U114:X114)</x:f>
        <x:v>254400</x:v>
      </x:c>
    </x:row>
    <x:row r="115">
      <x:c r="A115" t="str">
        <x:v>Short Term Contract</x:v>
      </x:c>
      <x:c r="B115" s="30" t="n">
        <x:v>500000</x:v>
      </x:c>
      <x:c r="C115" s="30" t="n">
        <x:f>Inputs!$G$5</x:f>
        <x:v>1000</x:v>
      </x:c>
      <x:c r="D115" s="20" t="n">
        <x:f>Inputs!$G$4+VLOOKUP(M115,Inputs!$A$4:$B$7,2,FALSE)</x:f>
        <x:v>0.21</x:v>
      </x:c>
      <x:c r="E115" s="30" t="n">
        <x:f>B115*D115*N115/Inputs!$G$8</x:f>
        <x:v>210000</x:v>
      </x:c>
      <x:c r="F115" s="30" t="n">
        <x:f>B115*Inputs!$G$6</x:f>
        <x:v>15000</x:v>
      </x:c>
      <x:c r="G115" t="str">
        <x:v>90 Days</x:v>
      </x:c>
      <x:c r="H115" s="28" t="n">
        <x:v>90</x:v>
      </x:c>
      <x:c r="I115" s="52" t="n">
        <x:f>Inputs!$G$7</x:f>
        <x:v>0.02</x:v>
      </x:c>
      <x:c r="J115" s="52" t="n">
        <x:f>I115/30</x:f>
        <x:v>0.0006666666666666666</x:v>
      </x:c>
      <x:c r="K115" s="52" t="n">
        <x:f>J115*H115</x:f>
        <x:v>0.06</x:v>
      </x:c>
      <x:c r="L115" s="30" t="n">
        <x:f>(B115+E115)*K115</x:f>
        <x:v>42600</x:v>
      </x:c>
      <x:c r="M115" s="30" t="n">
        <x:f>E115</x:f>
        <x:v>210000</x:v>
      </x:c>
      <x:c r="N115" s="30">
        <x:f>R115-C115-F115</x:f>
      </x:c>
      <x:c r="O115" s="20" t="str">
        <x:f>IF(ABS(D115-(Inputs!$G$4+Inputs!$B$4))&lt;0.000001,"Low Risk",IF(ABS(D115-(Inputs!$G$4+Inputs!$B$5))&lt;0.000001,"Moderate Risk",IF(ABS(D115-(Inputs!$G$4+Inputs!$B$6))&lt;0.000001,"High Risk","Worst Scenario")))</x:f>
        <x:v>Worst Scenario</x:v>
      </x:c>
      <x:c r="P115" s="28" t="n">
        <x:f>IF(A115="Purchase Order Funding",Inputs!$G$13,IF(B115=500000,180,IF(B115=750000,365,1095)))</x:f>
        <x:v>180</x:v>
      </x:c>
      <x:c r="Q115" s="20" t="n">
        <x:f>D115</x:f>
        <x:v>0.21</x:v>
      </x:c>
      <x:c r="R115" s="30" t="n">
        <x:f>B115+C115+E115+F115+L115</x:f>
        <x:v>768600</x:v>
      </x:c>
      <x:c r="S115" s="30" t="n">
        <x:f>(B115+E115)*J115</x:f>
        <x:v>473.3333333333333</x:v>
      </x:c>
      <x:c r="T115" s="30" t="n">
        <x:f>C115+E115+F115+L115</x:f>
        <x:v>268600</x:v>
      </x:c>
      <x:c r="U115" s="30" t="n">
        <x:f>E115</x:f>
        <x:v>210000</x:v>
      </x:c>
      <x:c r="V115" s="30" t="n">
        <x:f>C115</x:f>
        <x:v>1000</x:v>
      </x:c>
      <x:c r="W115" s="30" t="n">
        <x:f>F115</x:f>
        <x:v>15000</x:v>
      </x:c>
      <x:c r="X115" s="30" t="n">
        <x:f>L115</x:f>
        <x:v>42600</x:v>
      </x:c>
      <x:c r="Y115" s="30" t="n">
        <x:f>SUM(U115:X115)</x:f>
        <x:v>268600</x:v>
      </x:c>
    </x:row>
    <x:row r="116">
      <x:c r="A116" t="str">
        <x:v>Short Term Contract</x:v>
      </x:c>
      <x:c r="B116" s="30" t="n">
        <x:v>500000</x:v>
      </x:c>
      <x:c r="C116" s="30" t="n">
        <x:f>Inputs!$G$5</x:f>
        <x:v>1000</x:v>
      </x:c>
      <x:c r="D116" s="20" t="n">
        <x:f>Inputs!$G$4+VLOOKUP(M116,Inputs!$A$4:$B$7,2,FALSE)</x:f>
        <x:v>0.21</x:v>
      </x:c>
      <x:c r="E116" s="30" t="n">
        <x:f>B116*D116*N116/Inputs!$G$8</x:f>
        <x:v>210000</x:v>
      </x:c>
      <x:c r="F116" s="30" t="n">
        <x:f>B116*Inputs!$G$6</x:f>
        <x:v>15000</x:v>
      </x:c>
      <x:c r="G116" t="str">
        <x:v>120 Days</x:v>
      </x:c>
      <x:c r="H116" s="28" t="n">
        <x:v>120</x:v>
      </x:c>
      <x:c r="I116" s="52" t="n">
        <x:f>Inputs!$G$7</x:f>
        <x:v>0.02</x:v>
      </x:c>
      <x:c r="J116" s="52" t="n">
        <x:f>I116/30</x:f>
        <x:v>0.0006666666666666666</x:v>
      </x:c>
      <x:c r="K116" s="52" t="n">
        <x:f>J116*H116</x:f>
        <x:v>0.08</x:v>
      </x:c>
      <x:c r="L116" s="30" t="n">
        <x:f>(B116+E116)*K116</x:f>
        <x:v>56800</x:v>
      </x:c>
      <x:c r="M116" s="30" t="n">
        <x:f>E116</x:f>
        <x:v>210000</x:v>
      </x:c>
      <x:c r="N116" s="30">
        <x:f>R116-C116-F116</x:f>
      </x:c>
      <x:c r="O116" s="20" t="str">
        <x:f>IF(ABS(D116-(Inputs!$G$4+Inputs!$B$4))&lt;0.000001,"Low Risk",IF(ABS(D116-(Inputs!$G$4+Inputs!$B$5))&lt;0.000001,"Moderate Risk",IF(ABS(D116-(Inputs!$G$4+Inputs!$B$6))&lt;0.000001,"High Risk","Worst Scenario")))</x:f>
        <x:v>Worst Scenario</x:v>
      </x:c>
      <x:c r="P116" s="28" t="n">
        <x:f>IF(A116="Purchase Order Funding",Inputs!$G$13,IF(B116=500000,180,IF(B116=750000,365,1095)))</x:f>
        <x:v>180</x:v>
      </x:c>
      <x:c r="Q116" s="20" t="n">
        <x:f>D116</x:f>
        <x:v>0.21</x:v>
      </x:c>
      <x:c r="R116" s="30" t="n">
        <x:f>B116+C116+E116+F116+L116</x:f>
        <x:v>782800</x:v>
      </x:c>
      <x:c r="S116" s="30" t="n">
        <x:f>(B116+E116)*J116</x:f>
        <x:v>473.3333333333333</x:v>
      </x:c>
      <x:c r="T116" s="30" t="n">
        <x:f>C116+E116+F116+L116</x:f>
        <x:v>282800</x:v>
      </x:c>
      <x:c r="U116" s="30" t="n">
        <x:f>E116</x:f>
        <x:v>210000</x:v>
      </x:c>
      <x:c r="V116" s="30" t="n">
        <x:f>C116</x:f>
        <x:v>1000</x:v>
      </x:c>
      <x:c r="W116" s="30" t="n">
        <x:f>F116</x:f>
        <x:v>15000</x:v>
      </x:c>
      <x:c r="X116" s="30" t="n">
        <x:f>L116</x:f>
        <x:v>56800</x:v>
      </x:c>
      <x:c r="Y116" s="30" t="n">
        <x:f>SUM(U116:X116)</x:f>
        <x:v>282800</x:v>
      </x:c>
    </x:row>
    <x:row r="117">
      <x:c r="A117" t="str">
        <x:v>Short Term Contract</x:v>
      </x:c>
      <x:c r="B117" s="30" t="n">
        <x:v>500000</x:v>
      </x:c>
      <x:c r="C117" s="30" t="n">
        <x:f>Inputs!$G$5</x:f>
        <x:v>1000</x:v>
      </x:c>
      <x:c r="D117" s="20" t="n">
        <x:f>Inputs!$G$4+VLOOKUP(M117,Inputs!$A$4:$B$7,2,FALSE)</x:f>
        <x:v>0.155</x:v>
      </x:c>
      <x:c r="E117" s="30" t="n">
        <x:f>B117*D117*N117/Inputs!$G$8</x:f>
        <x:v>232500</x:v>
      </x:c>
      <x:c r="F117" s="30" t="n">
        <x:f>B117*Inputs!$G$6</x:f>
        <x:v>15000</x:v>
      </x:c>
      <x:c r="G117" t="str">
        <x:v>30 Days</x:v>
      </x:c>
      <x:c r="H117" s="28" t="n">
        <x:v>30</x:v>
      </x:c>
      <x:c r="I117" s="52" t="n">
        <x:f>Inputs!$G$7</x:f>
        <x:v>0.02</x:v>
      </x:c>
      <x:c r="J117" s="52" t="n">
        <x:f>I117/30</x:f>
        <x:v>0.0006666666666666666</x:v>
      </x:c>
      <x:c r="K117" s="52" t="n">
        <x:f>J117*H117</x:f>
        <x:v>0.02</x:v>
      </x:c>
      <x:c r="L117" s="30" t="n">
        <x:f>(B117+E117)*K117</x:f>
        <x:v>14650</x:v>
      </x:c>
      <x:c r="M117" s="30" t="n">
        <x:f>E117</x:f>
        <x:v>232500</x:v>
      </x:c>
      <x:c r="N117" s="30">
        <x:f>R117-C117-F117</x:f>
      </x:c>
      <x:c r="O117" s="20" t="str">
        <x:f>IF(ABS(D117-(Inputs!$G$4+Inputs!$B$4))&lt;0.000001,"Low Risk",IF(ABS(D117-(Inputs!$G$4+Inputs!$B$5))&lt;0.000001,"Moderate Risk",IF(ABS(D117-(Inputs!$G$4+Inputs!$B$6))&lt;0.000001,"High Risk","Worst Scenario")))</x:f>
        <x:v>Low Risk</x:v>
      </x:c>
      <x:c r="P117" s="28" t="n">
        <x:f>IF(A117="Purchase Order Funding",Inputs!$G$13,IF(B117=500000,180,IF(B117=750000,365,1095)))</x:f>
        <x:v>180</x:v>
      </x:c>
      <x:c r="Q117" s="20" t="n">
        <x:f>D117</x:f>
        <x:v>0.155</x:v>
      </x:c>
      <x:c r="R117" s="30" t="n">
        <x:f>B117+C117+E117+F117+L117</x:f>
        <x:v>763150</x:v>
      </x:c>
      <x:c r="S117" s="30" t="n">
        <x:f>(B117+E117)*J117</x:f>
        <x:v>488.3333333333333</x:v>
      </x:c>
      <x:c r="T117" s="30" t="n">
        <x:f>C117+E117+F117+L117</x:f>
        <x:v>263150</x:v>
      </x:c>
      <x:c r="U117" s="30" t="n">
        <x:f>E117</x:f>
        <x:v>232500</x:v>
      </x:c>
      <x:c r="V117" s="30" t="n">
        <x:f>C117</x:f>
        <x:v>1000</x:v>
      </x:c>
      <x:c r="W117" s="30" t="n">
        <x:f>F117</x:f>
        <x:v>15000</x:v>
      </x:c>
      <x:c r="X117" s="30" t="n">
        <x:f>L117</x:f>
        <x:v>14650</x:v>
      </x:c>
      <x:c r="Y117" s="30" t="n">
        <x:f>SUM(U117:X117)</x:f>
        <x:v>263150</x:v>
      </x:c>
    </x:row>
    <x:row r="118">
      <x:c r="A118" t="str">
        <x:v>Short Term Contract</x:v>
      </x:c>
      <x:c r="B118" s="30" t="n">
        <x:v>500000</x:v>
      </x:c>
      <x:c r="C118" s="30" t="n">
        <x:f>Inputs!$G$5</x:f>
        <x:v>1000</x:v>
      </x:c>
      <x:c r="D118" s="20" t="n">
        <x:f>Inputs!$G$4+VLOOKUP(M118,Inputs!$A$4:$B$7,2,FALSE)</x:f>
        <x:v>0.155</x:v>
      </x:c>
      <x:c r="E118" s="30" t="n">
        <x:f>B118*D118*N118/Inputs!$G$8</x:f>
        <x:v>232500</x:v>
      </x:c>
      <x:c r="F118" s="30" t="n">
        <x:f>B118*Inputs!$G$6</x:f>
        <x:v>15000</x:v>
      </x:c>
      <x:c r="G118" t="str">
        <x:v>60 Days</x:v>
      </x:c>
      <x:c r="H118" s="28" t="n">
        <x:v>60</x:v>
      </x:c>
      <x:c r="I118" s="52" t="n">
        <x:f>Inputs!$G$7</x:f>
        <x:v>0.02</x:v>
      </x:c>
      <x:c r="J118" s="52" t="n">
        <x:f>I118/30</x:f>
        <x:v>0.0006666666666666666</x:v>
      </x:c>
      <x:c r="K118" s="52" t="n">
        <x:f>J118*H118</x:f>
        <x:v>0.04</x:v>
      </x:c>
      <x:c r="L118" s="30" t="n">
        <x:f>(B118+E118)*K118</x:f>
        <x:v>29300</x:v>
      </x:c>
      <x:c r="M118" s="30" t="n">
        <x:f>E118</x:f>
        <x:v>232500</x:v>
      </x:c>
      <x:c r="N118" s="30">
        <x:f>R118-C118-F118</x:f>
      </x:c>
      <x:c r="O118" s="20" t="str">
        <x:f>IF(ABS(D118-(Inputs!$G$4+Inputs!$B$4))&lt;0.000001,"Low Risk",IF(ABS(D118-(Inputs!$G$4+Inputs!$B$5))&lt;0.000001,"Moderate Risk",IF(ABS(D118-(Inputs!$G$4+Inputs!$B$6))&lt;0.000001,"High Risk","Worst Scenario")))</x:f>
        <x:v>Low Risk</x:v>
      </x:c>
      <x:c r="P118" s="28" t="n">
        <x:f>IF(A118="Purchase Order Funding",Inputs!$G$13,IF(B118=500000,180,IF(B118=750000,365,1095)))</x:f>
        <x:v>180</x:v>
      </x:c>
      <x:c r="Q118" s="20" t="n">
        <x:f>D118</x:f>
        <x:v>0.155</x:v>
      </x:c>
      <x:c r="R118" s="30" t="n">
        <x:f>B118+C118+E118+F118+L118</x:f>
        <x:v>777800</x:v>
      </x:c>
      <x:c r="S118" s="30" t="n">
        <x:f>(B118+E118)*J118</x:f>
        <x:v>488.3333333333333</x:v>
      </x:c>
      <x:c r="T118" s="30" t="n">
        <x:f>C118+E118+F118+L118</x:f>
        <x:v>277800</x:v>
      </x:c>
      <x:c r="U118" s="30" t="n">
        <x:f>E118</x:f>
        <x:v>232500</x:v>
      </x:c>
      <x:c r="V118" s="30" t="n">
        <x:f>C118</x:f>
        <x:v>1000</x:v>
      </x:c>
      <x:c r="W118" s="30" t="n">
        <x:f>F118</x:f>
        <x:v>15000</x:v>
      </x:c>
      <x:c r="X118" s="30" t="n">
        <x:f>L118</x:f>
        <x:v>29300</x:v>
      </x:c>
      <x:c r="Y118" s="30" t="n">
        <x:f>SUM(U118:X118)</x:f>
        <x:v>277800</x:v>
      </x:c>
    </x:row>
    <x:row r="119">
      <x:c r="A119" t="str">
        <x:v>Short Term Contract</x:v>
      </x:c>
      <x:c r="B119" s="30" t="n">
        <x:v>500000</x:v>
      </x:c>
      <x:c r="C119" s="30" t="n">
        <x:f>Inputs!$G$5</x:f>
        <x:v>1000</x:v>
      </x:c>
      <x:c r="D119" s="20" t="n">
        <x:f>Inputs!$G$4+VLOOKUP(M119,Inputs!$A$4:$B$7,2,FALSE)</x:f>
        <x:v>0.155</x:v>
      </x:c>
      <x:c r="E119" s="30" t="n">
        <x:f>B119*D119*N119/Inputs!$G$8</x:f>
        <x:v>232500</x:v>
      </x:c>
      <x:c r="F119" s="30" t="n">
        <x:f>B119*Inputs!$G$6</x:f>
        <x:v>15000</x:v>
      </x:c>
      <x:c r="G119" t="str">
        <x:v>90 Days</x:v>
      </x:c>
      <x:c r="H119" s="28" t="n">
        <x:v>90</x:v>
      </x:c>
      <x:c r="I119" s="52" t="n">
        <x:f>Inputs!$G$7</x:f>
        <x:v>0.02</x:v>
      </x:c>
      <x:c r="J119" s="52" t="n">
        <x:f>I119/30</x:f>
        <x:v>0.0006666666666666666</x:v>
      </x:c>
      <x:c r="K119" s="52" t="n">
        <x:f>J119*H119</x:f>
        <x:v>0.06</x:v>
      </x:c>
      <x:c r="L119" s="30" t="n">
        <x:f>(B119+E119)*K119</x:f>
        <x:v>43950</x:v>
      </x:c>
      <x:c r="M119" s="30" t="n">
        <x:f>E119</x:f>
        <x:v>232500</x:v>
      </x:c>
      <x:c r="N119" s="30">
        <x:f>R119-C119-F119</x:f>
      </x:c>
      <x:c r="O119" s="20" t="str">
        <x:f>IF(ABS(D119-(Inputs!$G$4+Inputs!$B$4))&lt;0.000001,"Low Risk",IF(ABS(D119-(Inputs!$G$4+Inputs!$B$5))&lt;0.000001,"Moderate Risk",IF(ABS(D119-(Inputs!$G$4+Inputs!$B$6))&lt;0.000001,"High Risk","Worst Scenario")))</x:f>
        <x:v>Low Risk</x:v>
      </x:c>
      <x:c r="P119" s="28" t="n">
        <x:f>IF(A119="Purchase Order Funding",Inputs!$G$13,IF(B119=500000,180,IF(B119=750000,365,1095)))</x:f>
        <x:v>180</x:v>
      </x:c>
      <x:c r="Q119" s="20" t="n">
        <x:f>D119</x:f>
        <x:v>0.155</x:v>
      </x:c>
      <x:c r="R119" s="30" t="n">
        <x:f>B119+C119+E119+F119+L119</x:f>
        <x:v>792450</x:v>
      </x:c>
      <x:c r="S119" s="30" t="n">
        <x:f>(B119+E119)*J119</x:f>
        <x:v>488.3333333333333</x:v>
      </x:c>
      <x:c r="T119" s="30" t="n">
        <x:f>C119+E119+F119+L119</x:f>
        <x:v>292450</x:v>
      </x:c>
      <x:c r="U119" s="30" t="n">
        <x:f>E119</x:f>
        <x:v>232500</x:v>
      </x:c>
      <x:c r="V119" s="30" t="n">
        <x:f>C119</x:f>
        <x:v>1000</x:v>
      </x:c>
      <x:c r="W119" s="30" t="n">
        <x:f>F119</x:f>
        <x:v>15000</x:v>
      </x:c>
      <x:c r="X119" s="30" t="n">
        <x:f>L119</x:f>
        <x:v>43950</x:v>
      </x:c>
      <x:c r="Y119" s="30" t="n">
        <x:f>SUM(U119:X119)</x:f>
        <x:v>292450</x:v>
      </x:c>
    </x:row>
    <x:row r="120">
      <x:c r="A120" t="str">
        <x:v>Short Term Contract</x:v>
      </x:c>
      <x:c r="B120" s="30" t="n">
        <x:v>500000</x:v>
      </x:c>
      <x:c r="C120" s="30" t="n">
        <x:f>Inputs!$G$5</x:f>
        <x:v>1000</x:v>
      </x:c>
      <x:c r="D120" s="20" t="n">
        <x:f>Inputs!$G$4+VLOOKUP(M120,Inputs!$A$4:$B$7,2,FALSE)</x:f>
        <x:v>0.155</x:v>
      </x:c>
      <x:c r="E120" s="30" t="n">
        <x:f>B120*D120*N120/Inputs!$G$8</x:f>
        <x:v>232500</x:v>
      </x:c>
      <x:c r="F120" s="30" t="n">
        <x:f>B120*Inputs!$G$6</x:f>
        <x:v>15000</x:v>
      </x:c>
      <x:c r="G120" t="str">
        <x:v>120 Days</x:v>
      </x:c>
      <x:c r="H120" s="28" t="n">
        <x:v>120</x:v>
      </x:c>
      <x:c r="I120" s="52" t="n">
        <x:f>Inputs!$G$7</x:f>
        <x:v>0.02</x:v>
      </x:c>
      <x:c r="J120" s="52" t="n">
        <x:f>I120/30</x:f>
        <x:v>0.0006666666666666666</x:v>
      </x:c>
      <x:c r="K120" s="52" t="n">
        <x:f>J120*H120</x:f>
        <x:v>0.08</x:v>
      </x:c>
      <x:c r="L120" s="30" t="n">
        <x:f>(B120+E120)*K120</x:f>
        <x:v>58600</x:v>
      </x:c>
      <x:c r="M120" s="30" t="n">
        <x:f>E120</x:f>
        <x:v>232500</x:v>
      </x:c>
      <x:c r="N120" s="30">
        <x:f>R120-C120-F120</x:f>
      </x:c>
      <x:c r="O120" s="20" t="str">
        <x:f>IF(ABS(D120-(Inputs!$G$4+Inputs!$B$4))&lt;0.000001,"Low Risk",IF(ABS(D120-(Inputs!$G$4+Inputs!$B$5))&lt;0.000001,"Moderate Risk",IF(ABS(D120-(Inputs!$G$4+Inputs!$B$6))&lt;0.000001,"High Risk","Worst Scenario")))</x:f>
        <x:v>Low Risk</x:v>
      </x:c>
      <x:c r="P120" s="28" t="n">
        <x:f>IF(A120="Purchase Order Funding",Inputs!$G$13,IF(B120=500000,180,IF(B120=750000,365,1095)))</x:f>
        <x:v>180</x:v>
      </x:c>
      <x:c r="Q120" s="20" t="n">
        <x:f>D120</x:f>
        <x:v>0.155</x:v>
      </x:c>
      <x:c r="R120" s="30" t="n">
        <x:f>B120+C120+E120+F120+L120</x:f>
        <x:v>807100</x:v>
      </x:c>
      <x:c r="S120" s="30" t="n">
        <x:f>(B120+E120)*J120</x:f>
        <x:v>488.3333333333333</x:v>
      </x:c>
      <x:c r="T120" s="30" t="n">
        <x:f>C120+E120+F120+L120</x:f>
        <x:v>307100</x:v>
      </x:c>
      <x:c r="U120" s="30" t="n">
        <x:f>E120</x:f>
        <x:v>232500</x:v>
      </x:c>
      <x:c r="V120" s="30" t="n">
        <x:f>C120</x:f>
        <x:v>1000</x:v>
      </x:c>
      <x:c r="W120" s="30" t="n">
        <x:f>F120</x:f>
        <x:v>15000</x:v>
      </x:c>
      <x:c r="X120" s="30" t="n">
        <x:f>L120</x:f>
        <x:v>58600</x:v>
      </x:c>
      <x:c r="Y120" s="30" t="n">
        <x:f>SUM(U120:X120)</x:f>
        <x:v>307100</x:v>
      </x:c>
    </x:row>
    <x:row r="121">
      <x:c r="A121" t="str">
        <x:v>Short Term Contract</x:v>
      </x:c>
      <x:c r="B121" s="30" t="n">
        <x:v>500000</x:v>
      </x:c>
      <x:c r="C121" s="30" t="n">
        <x:f>Inputs!$G$5</x:f>
        <x:v>1000</x:v>
      </x:c>
      <x:c r="D121" s="20" t="n">
        <x:f>Inputs!$G$4+VLOOKUP(M121,Inputs!$A$4:$B$7,2,FALSE)</x:f>
        <x:v>0.16999999999999998</x:v>
      </x:c>
      <x:c r="E121" s="30" t="n">
        <x:f>B121*D121*N121/Inputs!$G$8</x:f>
        <x:v>254999.99999999997</x:v>
      </x:c>
      <x:c r="F121" s="30" t="n">
        <x:f>B121*Inputs!$G$6</x:f>
        <x:v>15000</x:v>
      </x:c>
      <x:c r="G121" t="str">
        <x:v>30 Days</x:v>
      </x:c>
      <x:c r="H121" s="28" t="n">
        <x:v>30</x:v>
      </x:c>
      <x:c r="I121" s="52" t="n">
        <x:f>Inputs!$G$7</x:f>
        <x:v>0.02</x:v>
      </x:c>
      <x:c r="J121" s="52" t="n">
        <x:f>I121/30</x:f>
        <x:v>0.0006666666666666666</x:v>
      </x:c>
      <x:c r="K121" s="52" t="n">
        <x:f>J121*H121</x:f>
        <x:v>0.02</x:v>
      </x:c>
      <x:c r="L121" s="30" t="n">
        <x:f>(B121+E121)*K121</x:f>
        <x:v>15100</x:v>
      </x:c>
      <x:c r="M121" s="30" t="n">
        <x:f>E121</x:f>
        <x:v>254999.99999999997</x:v>
      </x:c>
      <x:c r="N121" s="30">
        <x:f>R121-C121-F121</x:f>
      </x:c>
      <x:c r="O121" s="20" t="str">
        <x:f>IF(ABS(D121-(Inputs!$G$4+Inputs!$B$4))&lt;0.000001,"Low Risk",IF(ABS(D121-(Inputs!$G$4+Inputs!$B$5))&lt;0.000001,"Moderate Risk",IF(ABS(D121-(Inputs!$G$4+Inputs!$B$6))&lt;0.000001,"High Risk","Worst Scenario")))</x:f>
        <x:v>Moderate Risk</x:v>
      </x:c>
      <x:c r="P121" s="28" t="n">
        <x:f>IF(A121="Purchase Order Funding",Inputs!$G$13,IF(B121=500000,180,IF(B121=750000,365,1095)))</x:f>
        <x:v>180</x:v>
      </x:c>
      <x:c r="Q121" s="20" t="n">
        <x:f>D121</x:f>
        <x:v>0.16999999999999998</x:v>
      </x:c>
      <x:c r="R121" s="30" t="n">
        <x:f>B121+C121+E121+F121+L121</x:f>
        <x:v>786100</x:v>
      </x:c>
      <x:c r="S121" s="30" t="n">
        <x:f>(B121+E121)*J121</x:f>
        <x:v>503.3333333333333</x:v>
      </x:c>
      <x:c r="T121" s="30" t="n">
        <x:f>C121+E121+F121+L121</x:f>
        <x:v>286100</x:v>
      </x:c>
      <x:c r="U121" s="30" t="n">
        <x:f>E121</x:f>
        <x:v>254999.99999999997</x:v>
      </x:c>
      <x:c r="V121" s="30" t="n">
        <x:f>C121</x:f>
        <x:v>1000</x:v>
      </x:c>
      <x:c r="W121" s="30" t="n">
        <x:f>F121</x:f>
        <x:v>15000</x:v>
      </x:c>
      <x:c r="X121" s="30" t="n">
        <x:f>L121</x:f>
        <x:v>15100</x:v>
      </x:c>
      <x:c r="Y121" s="30" t="n">
        <x:f>SUM(U121:X121)</x:f>
        <x:v>286100</x:v>
      </x:c>
    </x:row>
    <x:row r="122">
      <x:c r="A122" t="str">
        <x:v>Short Term Contract</x:v>
      </x:c>
      <x:c r="B122" s="30" t="n">
        <x:v>500000</x:v>
      </x:c>
      <x:c r="C122" s="30" t="n">
        <x:f>Inputs!$G$5</x:f>
        <x:v>1000</x:v>
      </x:c>
      <x:c r="D122" s="20" t="n">
        <x:f>Inputs!$G$4+VLOOKUP(M122,Inputs!$A$4:$B$7,2,FALSE)</x:f>
        <x:v>0.16999999999999998</x:v>
      </x:c>
      <x:c r="E122" s="30" t="n">
        <x:f>B122*D122*N122/Inputs!$G$8</x:f>
        <x:v>254999.99999999997</x:v>
      </x:c>
      <x:c r="F122" s="30" t="n">
        <x:f>B122*Inputs!$G$6</x:f>
        <x:v>15000</x:v>
      </x:c>
      <x:c r="G122" t="str">
        <x:v>60 Days</x:v>
      </x:c>
      <x:c r="H122" s="28" t="n">
        <x:v>60</x:v>
      </x:c>
      <x:c r="I122" s="52" t="n">
        <x:f>Inputs!$G$7</x:f>
        <x:v>0.02</x:v>
      </x:c>
      <x:c r="J122" s="52" t="n">
        <x:f>I122/30</x:f>
        <x:v>0.0006666666666666666</x:v>
      </x:c>
      <x:c r="K122" s="52" t="n">
        <x:f>J122*H122</x:f>
        <x:v>0.04</x:v>
      </x:c>
      <x:c r="L122" s="30" t="n">
        <x:f>(B122+E122)*K122</x:f>
        <x:v>30200</x:v>
      </x:c>
      <x:c r="M122" s="30" t="n">
        <x:f>E122</x:f>
        <x:v>254999.99999999997</x:v>
      </x:c>
      <x:c r="N122" s="30">
        <x:f>R122-C122-F122</x:f>
      </x:c>
      <x:c r="O122" s="20" t="str">
        <x:f>IF(ABS(D122-(Inputs!$G$4+Inputs!$B$4))&lt;0.000001,"Low Risk",IF(ABS(D122-(Inputs!$G$4+Inputs!$B$5))&lt;0.000001,"Moderate Risk",IF(ABS(D122-(Inputs!$G$4+Inputs!$B$6))&lt;0.000001,"High Risk","Worst Scenario")))</x:f>
        <x:v>Moderate Risk</x:v>
      </x:c>
      <x:c r="P122" s="28" t="n">
        <x:f>IF(A122="Purchase Order Funding",Inputs!$G$13,IF(B122=500000,180,IF(B122=750000,365,1095)))</x:f>
        <x:v>180</x:v>
      </x:c>
      <x:c r="Q122" s="20" t="n">
        <x:f>D122</x:f>
        <x:v>0.16999999999999998</x:v>
      </x:c>
      <x:c r="R122" s="30" t="n">
        <x:f>B122+C122+E122+F122+L122</x:f>
        <x:v>801200</x:v>
      </x:c>
      <x:c r="S122" s="30" t="n">
        <x:f>(B122+E122)*J122</x:f>
        <x:v>503.3333333333333</x:v>
      </x:c>
      <x:c r="T122" s="30" t="n">
        <x:f>C122+E122+F122+L122</x:f>
        <x:v>301200</x:v>
      </x:c>
      <x:c r="U122" s="30" t="n">
        <x:f>E122</x:f>
        <x:v>254999.99999999997</x:v>
      </x:c>
      <x:c r="V122" s="30" t="n">
        <x:f>C122</x:f>
        <x:v>1000</x:v>
      </x:c>
      <x:c r="W122" s="30" t="n">
        <x:f>F122</x:f>
        <x:v>15000</x:v>
      </x:c>
      <x:c r="X122" s="30" t="n">
        <x:f>L122</x:f>
        <x:v>30200</x:v>
      </x:c>
      <x:c r="Y122" s="30" t="n">
        <x:f>SUM(U122:X122)</x:f>
        <x:v>301200</x:v>
      </x:c>
    </x:row>
    <x:row r="123">
      <x:c r="A123" t="str">
        <x:v>Short Term Contract</x:v>
      </x:c>
      <x:c r="B123" s="30" t="n">
        <x:v>500000</x:v>
      </x:c>
      <x:c r="C123" s="30" t="n">
        <x:f>Inputs!$G$5</x:f>
        <x:v>1000</x:v>
      </x:c>
      <x:c r="D123" s="20" t="n">
        <x:f>Inputs!$G$4+VLOOKUP(M123,Inputs!$A$4:$B$7,2,FALSE)</x:f>
        <x:v>0.16999999999999998</x:v>
      </x:c>
      <x:c r="E123" s="30" t="n">
        <x:f>B123*D123*N123/Inputs!$G$8</x:f>
        <x:v>254999.99999999997</x:v>
      </x:c>
      <x:c r="F123" s="30" t="n">
        <x:f>B123*Inputs!$G$6</x:f>
        <x:v>15000</x:v>
      </x:c>
      <x:c r="G123" t="str">
        <x:v>90 Days</x:v>
      </x:c>
      <x:c r="H123" s="28" t="n">
        <x:v>90</x:v>
      </x:c>
      <x:c r="I123" s="52" t="n">
        <x:f>Inputs!$G$7</x:f>
        <x:v>0.02</x:v>
      </x:c>
      <x:c r="J123" s="52" t="n">
        <x:f>I123/30</x:f>
        <x:v>0.0006666666666666666</x:v>
      </x:c>
      <x:c r="K123" s="52" t="n">
        <x:f>J123*H123</x:f>
        <x:v>0.06</x:v>
      </x:c>
      <x:c r="L123" s="30" t="n">
        <x:f>(B123+E123)*K123</x:f>
        <x:v>45300</x:v>
      </x:c>
      <x:c r="M123" s="30" t="n">
        <x:f>E123</x:f>
        <x:v>254999.99999999997</x:v>
      </x:c>
      <x:c r="N123" s="30">
        <x:f>R123-C123-F123</x:f>
      </x:c>
      <x:c r="O123" s="20" t="str">
        <x:f>IF(ABS(D123-(Inputs!$G$4+Inputs!$B$4))&lt;0.000001,"Low Risk",IF(ABS(D123-(Inputs!$G$4+Inputs!$B$5))&lt;0.000001,"Moderate Risk",IF(ABS(D123-(Inputs!$G$4+Inputs!$B$6))&lt;0.000001,"High Risk","Worst Scenario")))</x:f>
        <x:v>Moderate Risk</x:v>
      </x:c>
      <x:c r="P123" s="28" t="n">
        <x:f>IF(A123="Purchase Order Funding",Inputs!$G$13,IF(B123=500000,180,IF(B123=750000,365,1095)))</x:f>
        <x:v>180</x:v>
      </x:c>
      <x:c r="Q123" s="20" t="n">
        <x:f>D123</x:f>
        <x:v>0.16999999999999998</x:v>
      </x:c>
      <x:c r="R123" s="30" t="n">
        <x:f>B123+C123+E123+F123+L123</x:f>
        <x:v>816300</x:v>
      </x:c>
      <x:c r="S123" s="30" t="n">
        <x:f>(B123+E123)*J123</x:f>
        <x:v>503.3333333333333</x:v>
      </x:c>
      <x:c r="T123" s="30" t="n">
        <x:f>C123+E123+F123+L123</x:f>
        <x:v>316300</x:v>
      </x:c>
      <x:c r="U123" s="30" t="n">
        <x:f>E123</x:f>
        <x:v>254999.99999999997</x:v>
      </x:c>
      <x:c r="V123" s="30" t="n">
        <x:f>C123</x:f>
        <x:v>1000</x:v>
      </x:c>
      <x:c r="W123" s="30" t="n">
        <x:f>F123</x:f>
        <x:v>15000</x:v>
      </x:c>
      <x:c r="X123" s="30" t="n">
        <x:f>L123</x:f>
        <x:v>45300</x:v>
      </x:c>
      <x:c r="Y123" s="30" t="n">
        <x:f>SUM(U123:X123)</x:f>
        <x:v>316300</x:v>
      </x:c>
    </x:row>
    <x:row r="124">
      <x:c r="A124" t="str">
        <x:v>Short Term Contract</x:v>
      </x:c>
      <x:c r="B124" s="30" t="n">
        <x:v>500000</x:v>
      </x:c>
      <x:c r="C124" s="30" t="n">
        <x:f>Inputs!$G$5</x:f>
        <x:v>1000</x:v>
      </x:c>
      <x:c r="D124" s="20" t="n">
        <x:f>Inputs!$G$4+VLOOKUP(M124,Inputs!$A$4:$B$7,2,FALSE)</x:f>
        <x:v>0.16999999999999998</x:v>
      </x:c>
      <x:c r="E124" s="30" t="n">
        <x:f>B124*D124*N124/Inputs!$G$8</x:f>
        <x:v>254999.99999999997</x:v>
      </x:c>
      <x:c r="F124" s="30" t="n">
        <x:f>B124*Inputs!$G$6</x:f>
        <x:v>15000</x:v>
      </x:c>
      <x:c r="G124" t="str">
        <x:v>120 Days</x:v>
      </x:c>
      <x:c r="H124" s="28" t="n">
        <x:v>120</x:v>
      </x:c>
      <x:c r="I124" s="52" t="n">
        <x:f>Inputs!$G$7</x:f>
        <x:v>0.02</x:v>
      </x:c>
      <x:c r="J124" s="52" t="n">
        <x:f>I124/30</x:f>
        <x:v>0.0006666666666666666</x:v>
      </x:c>
      <x:c r="K124" s="52" t="n">
        <x:f>J124*H124</x:f>
        <x:v>0.08</x:v>
      </x:c>
      <x:c r="L124" s="30" t="n">
        <x:f>(B124+E124)*K124</x:f>
        <x:v>60400</x:v>
      </x:c>
      <x:c r="M124" s="30" t="n">
        <x:f>E124</x:f>
        <x:v>254999.99999999997</x:v>
      </x:c>
      <x:c r="N124" s="30">
        <x:f>R124-C124-F124</x:f>
      </x:c>
      <x:c r="O124" s="20" t="str">
        <x:f>IF(ABS(D124-(Inputs!$G$4+Inputs!$B$4))&lt;0.000001,"Low Risk",IF(ABS(D124-(Inputs!$G$4+Inputs!$B$5))&lt;0.000001,"Moderate Risk",IF(ABS(D124-(Inputs!$G$4+Inputs!$B$6))&lt;0.000001,"High Risk","Worst Scenario")))</x:f>
        <x:v>Moderate Risk</x:v>
      </x:c>
      <x:c r="P124" s="28" t="n">
        <x:f>IF(A124="Purchase Order Funding",Inputs!$G$13,IF(B124=500000,180,IF(B124=750000,365,1095)))</x:f>
        <x:v>180</x:v>
      </x:c>
      <x:c r="Q124" s="20" t="n">
        <x:f>D124</x:f>
        <x:v>0.16999999999999998</x:v>
      </x:c>
      <x:c r="R124" s="30" t="n">
        <x:f>B124+C124+E124+F124+L124</x:f>
        <x:v>831400</x:v>
      </x:c>
      <x:c r="S124" s="30" t="n">
        <x:f>(B124+E124)*J124</x:f>
        <x:v>503.3333333333333</x:v>
      </x:c>
      <x:c r="T124" s="30" t="n">
        <x:f>C124+E124+F124+L124</x:f>
        <x:v>331400</x:v>
      </x:c>
      <x:c r="U124" s="30" t="n">
        <x:f>E124</x:f>
        <x:v>254999.99999999997</x:v>
      </x:c>
      <x:c r="V124" s="30" t="n">
        <x:f>C124</x:f>
        <x:v>1000</x:v>
      </x:c>
      <x:c r="W124" s="30" t="n">
        <x:f>F124</x:f>
        <x:v>15000</x:v>
      </x:c>
      <x:c r="X124" s="30" t="n">
        <x:f>L124</x:f>
        <x:v>60400</x:v>
      </x:c>
      <x:c r="Y124" s="30" t="n">
        <x:f>SUM(U124:X124)</x:f>
        <x:v>331400</x:v>
      </x:c>
    </x:row>
    <x:row r="125">
      <x:c r="A125" t="str">
        <x:v>Short Term Contract</x:v>
      </x:c>
      <x:c r="B125" s="30" t="n">
        <x:v>500000</x:v>
      </x:c>
      <x:c r="C125" s="30" t="n">
        <x:f>Inputs!$G$5</x:f>
        <x:v>1000</x:v>
      </x:c>
      <x:c r="D125" s="20" t="n">
        <x:f>Inputs!$G$4+VLOOKUP(M125,Inputs!$A$4:$B$7,2,FALSE)</x:f>
        <x:v>0.19</x:v>
      </x:c>
      <x:c r="E125" s="30" t="n">
        <x:f>B125*D125*N125/Inputs!$G$8</x:f>
        <x:v>285000</x:v>
      </x:c>
      <x:c r="F125" s="30" t="n">
        <x:f>B125*Inputs!$G$6</x:f>
        <x:v>15000</x:v>
      </x:c>
      <x:c r="G125" t="str">
        <x:v>30 Days</x:v>
      </x:c>
      <x:c r="H125" s="28" t="n">
        <x:v>30</x:v>
      </x:c>
      <x:c r="I125" s="52" t="n">
        <x:f>Inputs!$G$7</x:f>
        <x:v>0.02</x:v>
      </x:c>
      <x:c r="J125" s="52" t="n">
        <x:f>I125/30</x:f>
        <x:v>0.0006666666666666666</x:v>
      </x:c>
      <x:c r="K125" s="52" t="n">
        <x:f>J125*H125</x:f>
        <x:v>0.02</x:v>
      </x:c>
      <x:c r="L125" s="30" t="n">
        <x:f>(B125+E125)*K125</x:f>
        <x:v>15700</x:v>
      </x:c>
      <x:c r="M125" s="30" t="n">
        <x:f>E125</x:f>
        <x:v>285000</x:v>
      </x:c>
      <x:c r="N125" s="30">
        <x:f>R125-C125-F125</x:f>
      </x:c>
      <x:c r="O125" s="20" t="str">
        <x:f>IF(ABS(D125-(Inputs!$G$4+Inputs!$B$4))&lt;0.000001,"Low Risk",IF(ABS(D125-(Inputs!$G$4+Inputs!$B$5))&lt;0.000001,"Moderate Risk",IF(ABS(D125-(Inputs!$G$4+Inputs!$B$6))&lt;0.000001,"High Risk","Worst Scenario")))</x:f>
        <x:v>High Risk</x:v>
      </x:c>
      <x:c r="P125" s="28" t="n">
        <x:f>IF(A125="Purchase Order Funding",Inputs!$G$13,IF(B125=500000,180,IF(B125=750000,365,1095)))</x:f>
        <x:v>180</x:v>
      </x:c>
      <x:c r="Q125" s="20" t="n">
        <x:f>D125</x:f>
        <x:v>0.19</x:v>
      </x:c>
      <x:c r="R125" s="30" t="n">
        <x:f>B125+C125+E125+F125+L125</x:f>
        <x:v>816700</x:v>
      </x:c>
      <x:c r="S125" s="30" t="n">
        <x:f>(B125+E125)*J125</x:f>
        <x:v>523.3333333333334</x:v>
      </x:c>
      <x:c r="T125" s="30" t="n">
        <x:f>C125+E125+F125+L125</x:f>
        <x:v>316700</x:v>
      </x:c>
      <x:c r="U125" s="30" t="n">
        <x:f>E125</x:f>
        <x:v>285000</x:v>
      </x:c>
      <x:c r="V125" s="30" t="n">
        <x:f>C125</x:f>
        <x:v>1000</x:v>
      </x:c>
      <x:c r="W125" s="30" t="n">
        <x:f>F125</x:f>
        <x:v>15000</x:v>
      </x:c>
      <x:c r="X125" s="30" t="n">
        <x:f>L125</x:f>
        <x:v>15700</x:v>
      </x:c>
      <x:c r="Y125" s="30" t="n">
        <x:f>SUM(U125:X125)</x:f>
        <x:v>316700</x:v>
      </x:c>
    </x:row>
    <x:row r="126">
      <x:c r="A126" t="str">
        <x:v>Short Term Contract</x:v>
      </x:c>
      <x:c r="B126" s="30" t="n">
        <x:v>500000</x:v>
      </x:c>
      <x:c r="C126" s="30" t="n">
        <x:f>Inputs!$G$5</x:f>
        <x:v>1000</x:v>
      </x:c>
      <x:c r="D126" s="20" t="n">
        <x:f>Inputs!$G$4+VLOOKUP(M126,Inputs!$A$4:$B$7,2,FALSE)</x:f>
        <x:v>0.19</x:v>
      </x:c>
      <x:c r="E126" s="30" t="n">
        <x:f>B126*D126*N126/Inputs!$G$8</x:f>
        <x:v>285000</x:v>
      </x:c>
      <x:c r="F126" s="30" t="n">
        <x:f>B126*Inputs!$G$6</x:f>
        <x:v>15000</x:v>
      </x:c>
      <x:c r="G126" t="str">
        <x:v>60 Days</x:v>
      </x:c>
      <x:c r="H126" s="28" t="n">
        <x:v>60</x:v>
      </x:c>
      <x:c r="I126" s="52" t="n">
        <x:f>Inputs!$G$7</x:f>
        <x:v>0.02</x:v>
      </x:c>
      <x:c r="J126" s="52" t="n">
        <x:f>I126/30</x:f>
        <x:v>0.0006666666666666666</x:v>
      </x:c>
      <x:c r="K126" s="52" t="n">
        <x:f>J126*H126</x:f>
        <x:v>0.04</x:v>
      </x:c>
      <x:c r="L126" s="30" t="n">
        <x:f>(B126+E126)*K126</x:f>
        <x:v>31400</x:v>
      </x:c>
      <x:c r="M126" s="30" t="n">
        <x:f>E126</x:f>
        <x:v>285000</x:v>
      </x:c>
      <x:c r="N126" s="30">
        <x:f>R126-C126-F126</x:f>
      </x:c>
      <x:c r="O126" s="20" t="str">
        <x:f>IF(ABS(D126-(Inputs!$G$4+Inputs!$B$4))&lt;0.000001,"Low Risk",IF(ABS(D126-(Inputs!$G$4+Inputs!$B$5))&lt;0.000001,"Moderate Risk",IF(ABS(D126-(Inputs!$G$4+Inputs!$B$6))&lt;0.000001,"High Risk","Worst Scenario")))</x:f>
        <x:v>High Risk</x:v>
      </x:c>
      <x:c r="P126" s="28" t="n">
        <x:f>IF(A126="Purchase Order Funding",Inputs!$G$13,IF(B126=500000,180,IF(B126=750000,365,1095)))</x:f>
        <x:v>180</x:v>
      </x:c>
      <x:c r="Q126" s="20" t="n">
        <x:f>D126</x:f>
        <x:v>0.19</x:v>
      </x:c>
      <x:c r="R126" s="30" t="n">
        <x:f>B126+C126+E126+F126+L126</x:f>
        <x:v>832400</x:v>
      </x:c>
      <x:c r="S126" s="30" t="n">
        <x:f>(B126+E126)*J126</x:f>
        <x:v>523.3333333333334</x:v>
      </x:c>
      <x:c r="T126" s="30" t="n">
        <x:f>C126+E126+F126+L126</x:f>
        <x:v>332400</x:v>
      </x:c>
      <x:c r="U126" s="30" t="n">
        <x:f>E126</x:f>
        <x:v>285000</x:v>
      </x:c>
      <x:c r="V126" s="30" t="n">
        <x:f>C126</x:f>
        <x:v>1000</x:v>
      </x:c>
      <x:c r="W126" s="30" t="n">
        <x:f>F126</x:f>
        <x:v>15000</x:v>
      </x:c>
      <x:c r="X126" s="30" t="n">
        <x:f>L126</x:f>
        <x:v>31400</x:v>
      </x:c>
      <x:c r="Y126" s="30" t="n">
        <x:f>SUM(U126:X126)</x:f>
        <x:v>332400</x:v>
      </x:c>
    </x:row>
    <x:row r="127">
      <x:c r="A127" t="str">
        <x:v>Short Term Contract</x:v>
      </x:c>
      <x:c r="B127" s="30" t="n">
        <x:v>500000</x:v>
      </x:c>
      <x:c r="C127" s="30" t="n">
        <x:f>Inputs!$G$5</x:f>
        <x:v>1000</x:v>
      </x:c>
      <x:c r="D127" s="20" t="n">
        <x:f>Inputs!$G$4+VLOOKUP(M127,Inputs!$A$4:$B$7,2,FALSE)</x:f>
        <x:v>0.19</x:v>
      </x:c>
      <x:c r="E127" s="30" t="n">
        <x:f>B127*D127*N127/Inputs!$G$8</x:f>
        <x:v>285000</x:v>
      </x:c>
      <x:c r="F127" s="30" t="n">
        <x:f>B127*Inputs!$G$6</x:f>
        <x:v>15000</x:v>
      </x:c>
      <x:c r="G127" t="str">
        <x:v>90 Days</x:v>
      </x:c>
      <x:c r="H127" s="28" t="n">
        <x:v>90</x:v>
      </x:c>
      <x:c r="I127" s="52" t="n">
        <x:f>Inputs!$G$7</x:f>
        <x:v>0.02</x:v>
      </x:c>
      <x:c r="J127" s="52" t="n">
        <x:f>I127/30</x:f>
        <x:v>0.0006666666666666666</x:v>
      </x:c>
      <x:c r="K127" s="52" t="n">
        <x:f>J127*H127</x:f>
        <x:v>0.06</x:v>
      </x:c>
      <x:c r="L127" s="30" t="n">
        <x:f>(B127+E127)*K127</x:f>
        <x:v>47100</x:v>
      </x:c>
      <x:c r="M127" s="30" t="n">
        <x:f>E127</x:f>
        <x:v>285000</x:v>
      </x:c>
      <x:c r="N127" s="30">
        <x:f>R127-C127-F127</x:f>
      </x:c>
      <x:c r="O127" s="20" t="str">
        <x:f>IF(ABS(D127-(Inputs!$G$4+Inputs!$B$4))&lt;0.000001,"Low Risk",IF(ABS(D127-(Inputs!$G$4+Inputs!$B$5))&lt;0.000001,"Moderate Risk",IF(ABS(D127-(Inputs!$G$4+Inputs!$B$6))&lt;0.000001,"High Risk","Worst Scenario")))</x:f>
        <x:v>High Risk</x:v>
      </x:c>
      <x:c r="P127" s="28" t="n">
        <x:f>IF(A127="Purchase Order Funding",Inputs!$G$13,IF(B127=500000,180,IF(B127=750000,365,1095)))</x:f>
        <x:v>180</x:v>
      </x:c>
      <x:c r="Q127" s="20" t="n">
        <x:f>D127</x:f>
        <x:v>0.19</x:v>
      </x:c>
      <x:c r="R127" s="30" t="n">
        <x:f>B127+C127+E127+F127+L127</x:f>
        <x:v>848100</x:v>
      </x:c>
      <x:c r="S127" s="30" t="n">
        <x:f>(B127+E127)*J127</x:f>
        <x:v>523.3333333333334</x:v>
      </x:c>
      <x:c r="T127" s="30" t="n">
        <x:f>C127+E127+F127+L127</x:f>
        <x:v>348100</x:v>
      </x:c>
      <x:c r="U127" s="30" t="n">
        <x:f>E127</x:f>
        <x:v>285000</x:v>
      </x:c>
      <x:c r="V127" s="30" t="n">
        <x:f>C127</x:f>
        <x:v>1000</x:v>
      </x:c>
      <x:c r="W127" s="30" t="n">
        <x:f>F127</x:f>
        <x:v>15000</x:v>
      </x:c>
      <x:c r="X127" s="30" t="n">
        <x:f>L127</x:f>
        <x:v>47100</x:v>
      </x:c>
      <x:c r="Y127" s="30" t="n">
        <x:f>SUM(U127:X127)</x:f>
        <x:v>348100</x:v>
      </x:c>
    </x:row>
    <x:row r="128">
      <x:c r="A128" t="str">
        <x:v>Short Term Contract</x:v>
      </x:c>
      <x:c r="B128" s="30" t="n">
        <x:v>500000</x:v>
      </x:c>
      <x:c r="C128" s="30" t="n">
        <x:f>Inputs!$G$5</x:f>
        <x:v>1000</x:v>
      </x:c>
      <x:c r="D128" s="20" t="n">
        <x:f>Inputs!$G$4+VLOOKUP(M128,Inputs!$A$4:$B$7,2,FALSE)</x:f>
        <x:v>0.19</x:v>
      </x:c>
      <x:c r="E128" s="30" t="n">
        <x:f>B128*D128*N128/Inputs!$G$8</x:f>
        <x:v>285000</x:v>
      </x:c>
      <x:c r="F128" s="30" t="n">
        <x:f>B128*Inputs!$G$6</x:f>
        <x:v>15000</x:v>
      </x:c>
      <x:c r="G128" t="str">
        <x:v>120 Days</x:v>
      </x:c>
      <x:c r="H128" s="28" t="n">
        <x:v>120</x:v>
      </x:c>
      <x:c r="I128" s="52" t="n">
        <x:f>Inputs!$G$7</x:f>
        <x:v>0.02</x:v>
      </x:c>
      <x:c r="J128" s="52" t="n">
        <x:f>I128/30</x:f>
        <x:v>0.0006666666666666666</x:v>
      </x:c>
      <x:c r="K128" s="52" t="n">
        <x:f>J128*H128</x:f>
        <x:v>0.08</x:v>
      </x:c>
      <x:c r="L128" s="30" t="n">
        <x:f>(B128+E128)*K128</x:f>
        <x:v>62800</x:v>
      </x:c>
      <x:c r="M128" s="30" t="n">
        <x:f>E128</x:f>
        <x:v>285000</x:v>
      </x:c>
      <x:c r="N128" s="30">
        <x:f>R128-C128-F128</x:f>
      </x:c>
      <x:c r="O128" s="20" t="str">
        <x:f>IF(ABS(D128-(Inputs!$G$4+Inputs!$B$4))&lt;0.000001,"Low Risk",IF(ABS(D128-(Inputs!$G$4+Inputs!$B$5))&lt;0.000001,"Moderate Risk",IF(ABS(D128-(Inputs!$G$4+Inputs!$B$6))&lt;0.000001,"High Risk","Worst Scenario")))</x:f>
        <x:v>High Risk</x:v>
      </x:c>
      <x:c r="P128" s="28" t="n">
        <x:f>IF(A128="Purchase Order Funding",Inputs!$G$13,IF(B128=500000,180,IF(B128=750000,365,1095)))</x:f>
        <x:v>180</x:v>
      </x:c>
      <x:c r="Q128" s="20" t="n">
        <x:f>D128</x:f>
        <x:v>0.19</x:v>
      </x:c>
      <x:c r="R128" s="30" t="n">
        <x:f>B128+C128+E128+F128+L128</x:f>
        <x:v>863800</x:v>
      </x:c>
      <x:c r="S128" s="30" t="n">
        <x:f>(B128+E128)*J128</x:f>
        <x:v>523.3333333333334</x:v>
      </x:c>
      <x:c r="T128" s="30" t="n">
        <x:f>C128+E128+F128+L128</x:f>
        <x:v>363800</x:v>
      </x:c>
      <x:c r="U128" s="30" t="n">
        <x:f>E128</x:f>
        <x:v>285000</x:v>
      </x:c>
      <x:c r="V128" s="30" t="n">
        <x:f>C128</x:f>
        <x:v>1000</x:v>
      </x:c>
      <x:c r="W128" s="30" t="n">
        <x:f>F128</x:f>
        <x:v>15000</x:v>
      </x:c>
      <x:c r="X128" s="30" t="n">
        <x:f>L128</x:f>
        <x:v>62800</x:v>
      </x:c>
      <x:c r="Y128" s="30" t="n">
        <x:f>SUM(U128:X128)</x:f>
        <x:v>363800</x:v>
      </x:c>
    </x:row>
    <x:row r="129">
      <x:c r="A129" t="str">
        <x:v>Short Term Contract</x:v>
      </x:c>
      <x:c r="B129" s="30" t="n">
        <x:v>500000</x:v>
      </x:c>
      <x:c r="C129" s="30" t="n">
        <x:f>Inputs!$G$5</x:f>
        <x:v>1000</x:v>
      </x:c>
      <x:c r="D129" s="20" t="n">
        <x:f>Inputs!$G$4+VLOOKUP(M129,Inputs!$A$4:$B$7,2,FALSE)</x:f>
        <x:v>0.21</x:v>
      </x:c>
      <x:c r="E129" s="30" t="n">
        <x:f>B129*D129*N129/Inputs!$G$8</x:f>
        <x:v>315000</x:v>
      </x:c>
      <x:c r="F129" s="30" t="n">
        <x:f>B129*Inputs!$G$6</x:f>
        <x:v>15000</x:v>
      </x:c>
      <x:c r="G129" t="str">
        <x:v>30 Days</x:v>
      </x:c>
      <x:c r="H129" s="28" t="n">
        <x:v>30</x:v>
      </x:c>
      <x:c r="I129" s="52" t="n">
        <x:f>Inputs!$G$7</x:f>
        <x:v>0.02</x:v>
      </x:c>
      <x:c r="J129" s="52" t="n">
        <x:f>I129/30</x:f>
        <x:v>0.0006666666666666666</x:v>
      </x:c>
      <x:c r="K129" s="52" t="n">
        <x:f>J129*H129</x:f>
        <x:v>0.02</x:v>
      </x:c>
      <x:c r="L129" s="30" t="n">
        <x:f>(B129+E129)*K129</x:f>
        <x:v>16300</x:v>
      </x:c>
      <x:c r="M129" s="30" t="n">
        <x:f>E129</x:f>
        <x:v>315000</x:v>
      </x:c>
      <x:c r="N129" s="30">
        <x:f>R129-C129-F129</x:f>
      </x:c>
      <x:c r="O129" s="20" t="str">
        <x:f>IF(ABS(D129-(Inputs!$G$4+Inputs!$B$4))&lt;0.000001,"Low Risk",IF(ABS(D129-(Inputs!$G$4+Inputs!$B$5))&lt;0.000001,"Moderate Risk",IF(ABS(D129-(Inputs!$G$4+Inputs!$B$6))&lt;0.000001,"High Risk","Worst Scenario")))</x:f>
        <x:v>Worst Scenario</x:v>
      </x:c>
      <x:c r="P129" s="28" t="n">
        <x:f>IF(A129="Purchase Order Funding",Inputs!$G$13,IF(B129=500000,180,IF(B129=750000,365,1095)))</x:f>
        <x:v>180</x:v>
      </x:c>
      <x:c r="Q129" s="20" t="n">
        <x:f>D129</x:f>
        <x:v>0.21</x:v>
      </x:c>
      <x:c r="R129" s="30" t="n">
        <x:f>B129+C129+E129+F129+L129</x:f>
        <x:v>847300</x:v>
      </x:c>
      <x:c r="S129" s="30" t="n">
        <x:f>(B129+E129)*J129</x:f>
        <x:v>543.3333333333334</x:v>
      </x:c>
      <x:c r="T129" s="30" t="n">
        <x:f>C129+E129+F129+L129</x:f>
        <x:v>347300</x:v>
      </x:c>
      <x:c r="U129" s="30" t="n">
        <x:f>E129</x:f>
        <x:v>315000</x:v>
      </x:c>
      <x:c r="V129" s="30" t="n">
        <x:f>C129</x:f>
        <x:v>1000</x:v>
      </x:c>
      <x:c r="W129" s="30" t="n">
        <x:f>F129</x:f>
        <x:v>15000</x:v>
      </x:c>
      <x:c r="X129" s="30" t="n">
        <x:f>L129</x:f>
        <x:v>16300</x:v>
      </x:c>
      <x:c r="Y129" s="30" t="n">
        <x:f>SUM(U129:X129)</x:f>
        <x:v>347300</x:v>
      </x:c>
    </x:row>
    <x:row r="130">
      <x:c r="A130" t="str">
        <x:v>Short Term Contract</x:v>
      </x:c>
      <x:c r="B130" s="30" t="n">
        <x:v>500000</x:v>
      </x:c>
      <x:c r="C130" s="30" t="n">
        <x:f>Inputs!$G$5</x:f>
        <x:v>1000</x:v>
      </x:c>
      <x:c r="D130" s="20" t="n">
        <x:f>Inputs!$G$4+VLOOKUP(M130,Inputs!$A$4:$B$7,2,FALSE)</x:f>
        <x:v>0.21</x:v>
      </x:c>
      <x:c r="E130" s="30" t="n">
        <x:f>B130*D130*N130/Inputs!$G$8</x:f>
        <x:v>315000</x:v>
      </x:c>
      <x:c r="F130" s="30" t="n">
        <x:f>B130*Inputs!$G$6</x:f>
        <x:v>15000</x:v>
      </x:c>
      <x:c r="G130" t="str">
        <x:v>60 Days</x:v>
      </x:c>
      <x:c r="H130" s="28" t="n">
        <x:v>60</x:v>
      </x:c>
      <x:c r="I130" s="52" t="n">
        <x:f>Inputs!$G$7</x:f>
        <x:v>0.02</x:v>
      </x:c>
      <x:c r="J130" s="52" t="n">
        <x:f>I130/30</x:f>
        <x:v>0.0006666666666666666</x:v>
      </x:c>
      <x:c r="K130" s="52" t="n">
        <x:f>J130*H130</x:f>
        <x:v>0.04</x:v>
      </x:c>
      <x:c r="L130" s="30" t="n">
        <x:f>(B130+E130)*K130</x:f>
        <x:v>32600</x:v>
      </x:c>
      <x:c r="M130" s="30" t="n">
        <x:f>E130</x:f>
        <x:v>315000</x:v>
      </x:c>
      <x:c r="N130" s="30">
        <x:f>R130-C130-F130</x:f>
      </x:c>
      <x:c r="O130" s="20" t="str">
        <x:f>IF(ABS(D130-(Inputs!$G$4+Inputs!$B$4))&lt;0.000001,"Low Risk",IF(ABS(D130-(Inputs!$G$4+Inputs!$B$5))&lt;0.000001,"Moderate Risk",IF(ABS(D130-(Inputs!$G$4+Inputs!$B$6))&lt;0.000001,"High Risk","Worst Scenario")))</x:f>
        <x:v>Worst Scenario</x:v>
      </x:c>
      <x:c r="P130" s="28" t="n">
        <x:f>IF(A130="Purchase Order Funding",Inputs!$G$13,IF(B130=500000,180,IF(B130=750000,365,1095)))</x:f>
        <x:v>180</x:v>
      </x:c>
      <x:c r="Q130" s="20" t="n">
        <x:f>D130</x:f>
        <x:v>0.21</x:v>
      </x:c>
      <x:c r="R130" s="30" t="n">
        <x:f>B130+C130+E130+F130+L130</x:f>
        <x:v>863600</x:v>
      </x:c>
      <x:c r="S130" s="30" t="n">
        <x:f>(B130+E130)*J130</x:f>
        <x:v>543.3333333333334</x:v>
      </x:c>
      <x:c r="T130" s="30" t="n">
        <x:f>C130+E130+F130+L130</x:f>
        <x:v>363600</x:v>
      </x:c>
      <x:c r="U130" s="30" t="n">
        <x:f>E130</x:f>
        <x:v>315000</x:v>
      </x:c>
      <x:c r="V130" s="30" t="n">
        <x:f>C130</x:f>
        <x:v>1000</x:v>
      </x:c>
      <x:c r="W130" s="30" t="n">
        <x:f>F130</x:f>
        <x:v>15000</x:v>
      </x:c>
      <x:c r="X130" s="30" t="n">
        <x:f>L130</x:f>
        <x:v>32600</x:v>
      </x:c>
      <x:c r="Y130" s="30" t="n">
        <x:f>SUM(U130:X130)</x:f>
        <x:v>363600</x:v>
      </x:c>
    </x:row>
    <x:row r="131">
      <x:c r="A131" t="str">
        <x:v>Short Term Contract</x:v>
      </x:c>
      <x:c r="B131" s="30" t="n">
        <x:v>500000</x:v>
      </x:c>
      <x:c r="C131" s="30" t="n">
        <x:f>Inputs!$G$5</x:f>
        <x:v>1000</x:v>
      </x:c>
      <x:c r="D131" s="20" t="n">
        <x:f>Inputs!$G$4+VLOOKUP(M131,Inputs!$A$4:$B$7,2,FALSE)</x:f>
        <x:v>0.21</x:v>
      </x:c>
      <x:c r="E131" s="30" t="n">
        <x:f>B131*D131*N131/Inputs!$G$8</x:f>
        <x:v>315000</x:v>
      </x:c>
      <x:c r="F131" s="30" t="n">
        <x:f>B131*Inputs!$G$6</x:f>
        <x:v>15000</x:v>
      </x:c>
      <x:c r="G131" t="str">
        <x:v>90 Days</x:v>
      </x:c>
      <x:c r="H131" s="28" t="n">
        <x:v>90</x:v>
      </x:c>
      <x:c r="I131" s="52" t="n">
        <x:f>Inputs!$G$7</x:f>
        <x:v>0.02</x:v>
      </x:c>
      <x:c r="J131" s="52" t="n">
        <x:f>I131/30</x:f>
        <x:v>0.0006666666666666666</x:v>
      </x:c>
      <x:c r="K131" s="52" t="n">
        <x:f>J131*H131</x:f>
        <x:v>0.06</x:v>
      </x:c>
      <x:c r="L131" s="30" t="n">
        <x:f>(B131+E131)*K131</x:f>
        <x:v>48900</x:v>
      </x:c>
      <x:c r="M131" s="30" t="n">
        <x:f>E131</x:f>
        <x:v>315000</x:v>
      </x:c>
      <x:c r="N131" s="30">
        <x:f>R131-C131-F131</x:f>
      </x:c>
      <x:c r="O131" s="20" t="str">
        <x:f>IF(ABS(D131-(Inputs!$G$4+Inputs!$B$4))&lt;0.000001,"Low Risk",IF(ABS(D131-(Inputs!$G$4+Inputs!$B$5))&lt;0.000001,"Moderate Risk",IF(ABS(D131-(Inputs!$G$4+Inputs!$B$6))&lt;0.000001,"High Risk","Worst Scenario")))</x:f>
        <x:v>Worst Scenario</x:v>
      </x:c>
      <x:c r="P131" s="28" t="n">
        <x:f>IF(A131="Purchase Order Funding",Inputs!$G$13,IF(B131=500000,180,IF(B131=750000,365,1095)))</x:f>
        <x:v>180</x:v>
      </x:c>
      <x:c r="Q131" s="20" t="n">
        <x:f>D131</x:f>
        <x:v>0.21</x:v>
      </x:c>
      <x:c r="R131" s="30" t="n">
        <x:f>B131+C131+E131+F131+L131</x:f>
        <x:v>879900</x:v>
      </x:c>
      <x:c r="S131" s="30" t="n">
        <x:f>(B131+E131)*J131</x:f>
        <x:v>543.3333333333334</x:v>
      </x:c>
      <x:c r="T131" s="30" t="n">
        <x:f>C131+E131+F131+L131</x:f>
        <x:v>379900</x:v>
      </x:c>
      <x:c r="U131" s="30" t="n">
        <x:f>E131</x:f>
        <x:v>315000</x:v>
      </x:c>
      <x:c r="V131" s="30" t="n">
        <x:f>C131</x:f>
        <x:v>1000</x:v>
      </x:c>
      <x:c r="W131" s="30" t="n">
        <x:f>F131</x:f>
        <x:v>15000</x:v>
      </x:c>
      <x:c r="X131" s="30" t="n">
        <x:f>L131</x:f>
        <x:v>48900</x:v>
      </x:c>
      <x:c r="Y131" s="30" t="n">
        <x:f>SUM(U131:X131)</x:f>
        <x:v>379900</x:v>
      </x:c>
    </x:row>
    <x:row r="132">
      <x:c r="A132" t="str">
        <x:v>Short Term Contract</x:v>
      </x:c>
      <x:c r="B132" s="30" t="n">
        <x:v>500000</x:v>
      </x:c>
      <x:c r="C132" s="30" t="n">
        <x:f>Inputs!$G$5</x:f>
        <x:v>1000</x:v>
      </x:c>
      <x:c r="D132" s="20" t="n">
        <x:f>Inputs!$G$4+VLOOKUP(M132,Inputs!$A$4:$B$7,2,FALSE)</x:f>
        <x:v>0.21</x:v>
      </x:c>
      <x:c r="E132" s="30" t="n">
        <x:f>B132*D132*N132/Inputs!$G$8</x:f>
        <x:v>315000</x:v>
      </x:c>
      <x:c r="F132" s="30" t="n">
        <x:f>B132*Inputs!$G$6</x:f>
        <x:v>15000</x:v>
      </x:c>
      <x:c r="G132" t="str">
        <x:v>120 Days</x:v>
      </x:c>
      <x:c r="H132" s="28" t="n">
        <x:v>120</x:v>
      </x:c>
      <x:c r="I132" s="52" t="n">
        <x:f>Inputs!$G$7</x:f>
        <x:v>0.02</x:v>
      </x:c>
      <x:c r="J132" s="52" t="n">
        <x:f>I132/30</x:f>
        <x:v>0.0006666666666666666</x:v>
      </x:c>
      <x:c r="K132" s="52" t="n">
        <x:f>J132*H132</x:f>
        <x:v>0.08</x:v>
      </x:c>
      <x:c r="L132" s="30" t="n">
        <x:f>(B132+E132)*K132</x:f>
        <x:v>65200</x:v>
      </x:c>
      <x:c r="M132" s="30" t="n">
        <x:f>E132</x:f>
        <x:v>315000</x:v>
      </x:c>
      <x:c r="N132" s="30">
        <x:f>R132-C132-F132</x:f>
      </x:c>
      <x:c r="O132" s="20" t="str">
        <x:f>IF(ABS(D132-(Inputs!$G$4+Inputs!$B$4))&lt;0.000001,"Low Risk",IF(ABS(D132-(Inputs!$G$4+Inputs!$B$5))&lt;0.000001,"Moderate Risk",IF(ABS(D132-(Inputs!$G$4+Inputs!$B$6))&lt;0.000001,"High Risk","Worst Scenario")))</x:f>
        <x:v>Worst Scenario</x:v>
      </x:c>
      <x:c r="P132" s="28" t="n">
        <x:f>IF(A132="Purchase Order Funding",Inputs!$G$13,IF(B132=500000,180,IF(B132=750000,365,1095)))</x:f>
        <x:v>180</x:v>
      </x:c>
      <x:c r="Q132" s="20" t="n">
        <x:f>D132</x:f>
        <x:v>0.21</x:v>
      </x:c>
      <x:c r="R132" s="30" t="n">
        <x:f>B132+C132+E132+F132+L132</x:f>
        <x:v>896200</x:v>
      </x:c>
      <x:c r="S132" s="30" t="n">
        <x:f>(B132+E132)*J132</x:f>
        <x:v>543.3333333333334</x:v>
      </x:c>
      <x:c r="T132" s="30" t="n">
        <x:f>C132+E132+F132+L132</x:f>
        <x:v>396200</x:v>
      </x:c>
      <x:c r="U132" s="30" t="n">
        <x:f>E132</x:f>
        <x:v>315000</x:v>
      </x:c>
      <x:c r="V132" s="30" t="n">
        <x:f>C132</x:f>
        <x:v>1000</x:v>
      </x:c>
      <x:c r="W132" s="30" t="n">
        <x:f>F132</x:f>
        <x:v>15000</x:v>
      </x:c>
      <x:c r="X132" s="30" t="n">
        <x:f>L132</x:f>
        <x:v>65200</x:v>
      </x:c>
      <x:c r="Y132" s="30" t="n">
        <x:f>SUM(U132:X132)</x:f>
        <x:v>396200</x:v>
      </x:c>
    </x:row>
    <x:row r="133">
      <x:c r="A133" t="str">
        <x:v>Short Term Contract</x:v>
      </x:c>
      <x:c r="B133" s="30" t="n">
        <x:v>750000</x:v>
      </x:c>
      <x:c r="C133" s="30" t="n">
        <x:f>Inputs!$G$5</x:f>
        <x:v>1000</x:v>
      </x:c>
      <x:c r="D133" s="20" t="n">
        <x:f>Inputs!$G$4+VLOOKUP(M133,Inputs!$A$4:$B$7,2,FALSE)</x:f>
        <x:v>0.155</x:v>
      </x:c>
      <x:c r="E133" s="30" t="n">
        <x:f>B133*D133*N133/Inputs!$G$8</x:f>
        <x:v>57328.767123287675</x:v>
      </x:c>
      <x:c r="F133" s="30" t="n">
        <x:f>B133*Inputs!$G$6</x:f>
        <x:v>22500</x:v>
      </x:c>
      <x:c r="G133" t="str">
        <x:v>30 Days</x:v>
      </x:c>
      <x:c r="H133" s="28" t="n">
        <x:v>30</x:v>
      </x:c>
      <x:c r="I133" s="52" t="n">
        <x:f>Inputs!$G$7</x:f>
        <x:v>0.02</x:v>
      </x:c>
      <x:c r="J133" s="52" t="n">
        <x:f>I133/30</x:f>
        <x:v>0.0006666666666666666</x:v>
      </x:c>
      <x:c r="K133" s="52" t="n">
        <x:f>J133*H133</x:f>
        <x:v>0.02</x:v>
      </x:c>
      <x:c r="L133" s="30" t="n">
        <x:f>(B133+E133)*K133</x:f>
        <x:v>16146.575342465754</x:v>
      </x:c>
      <x:c r="M133" s="30" t="n">
        <x:f>E133</x:f>
        <x:v>57328.767123287675</x:v>
      </x:c>
      <x:c r="N133" s="30">
        <x:f>R133-C133-F133</x:f>
      </x:c>
      <x:c r="O133" s="20" t="str">
        <x:f>IF(ABS(D133-(Inputs!$G$4+Inputs!$B$4))&lt;0.000001,"Low Risk",IF(ABS(D133-(Inputs!$G$4+Inputs!$B$5))&lt;0.000001,"Moderate Risk",IF(ABS(D133-(Inputs!$G$4+Inputs!$B$6))&lt;0.000001,"High Risk","Worst Scenario")))</x:f>
        <x:v>Low Risk</x:v>
      </x:c>
      <x:c r="P133" s="28" t="n">
        <x:f>IF(A133="Purchase Order Funding",Inputs!$G$13,IF(B133=500000,180,IF(B133=750000,365,1095)))</x:f>
        <x:v>365</x:v>
      </x:c>
      <x:c r="Q133" s="20" t="n">
        <x:f>D133</x:f>
        <x:v>0.155</x:v>
      </x:c>
      <x:c r="R133" s="30" t="n">
        <x:f>B133+C133+E133+F133+L133</x:f>
        <x:v>846975.3424657534</x:v>
      </x:c>
      <x:c r="S133" s="30" t="n">
        <x:f>(B133+E133)*J133</x:f>
        <x:v>538.2191780821918</x:v>
      </x:c>
      <x:c r="T133" s="30" t="n">
        <x:f>C133+E133+F133+L133</x:f>
        <x:v>96975.34246575343</x:v>
      </x:c>
      <x:c r="U133" s="30" t="n">
        <x:f>E133</x:f>
        <x:v>57328.767123287675</x:v>
      </x:c>
      <x:c r="V133" s="30" t="n">
        <x:f>C133</x:f>
        <x:v>1000</x:v>
      </x:c>
      <x:c r="W133" s="30" t="n">
        <x:f>F133</x:f>
        <x:v>22500</x:v>
      </x:c>
      <x:c r="X133" s="30" t="n">
        <x:f>L133</x:f>
        <x:v>16146.575342465754</x:v>
      </x:c>
      <x:c r="Y133" s="30" t="n">
        <x:f>SUM(U133:X133)</x:f>
        <x:v>96975.34246575343</x:v>
      </x:c>
    </x:row>
    <x:row r="134">
      <x:c r="A134" t="str">
        <x:v>Short Term Contract</x:v>
      </x:c>
      <x:c r="B134" s="30" t="n">
        <x:v>750000</x:v>
      </x:c>
      <x:c r="C134" s="30" t="n">
        <x:f>Inputs!$G$5</x:f>
        <x:v>1000</x:v>
      </x:c>
      <x:c r="D134" s="20" t="n">
        <x:f>Inputs!$G$4+VLOOKUP(M134,Inputs!$A$4:$B$7,2,FALSE)</x:f>
        <x:v>0.155</x:v>
      </x:c>
      <x:c r="E134" s="30" t="n">
        <x:f>B134*D134*N134/Inputs!$G$8</x:f>
        <x:v>57328.767123287675</x:v>
      </x:c>
      <x:c r="F134" s="30" t="n">
        <x:f>B134*Inputs!$G$6</x:f>
        <x:v>22500</x:v>
      </x:c>
      <x:c r="G134" t="str">
        <x:v>60 Days</x:v>
      </x:c>
      <x:c r="H134" s="28" t="n">
        <x:v>60</x:v>
      </x:c>
      <x:c r="I134" s="52" t="n">
        <x:f>Inputs!$G$7</x:f>
        <x:v>0.02</x:v>
      </x:c>
      <x:c r="J134" s="52" t="n">
        <x:f>I134/30</x:f>
        <x:v>0.0006666666666666666</x:v>
      </x:c>
      <x:c r="K134" s="52" t="n">
        <x:f>J134*H134</x:f>
        <x:v>0.04</x:v>
      </x:c>
      <x:c r="L134" s="30" t="n">
        <x:f>(B134+E134)*K134</x:f>
        <x:v>32293.15068493151</x:v>
      </x:c>
      <x:c r="M134" s="30" t="n">
        <x:f>E134</x:f>
        <x:v>57328.767123287675</x:v>
      </x:c>
      <x:c r="N134" s="30">
        <x:f>R134-C134-F134</x:f>
      </x:c>
      <x:c r="O134" s="20" t="str">
        <x:f>IF(ABS(D134-(Inputs!$G$4+Inputs!$B$4))&lt;0.000001,"Low Risk",IF(ABS(D134-(Inputs!$G$4+Inputs!$B$5))&lt;0.000001,"Moderate Risk",IF(ABS(D134-(Inputs!$G$4+Inputs!$B$6))&lt;0.000001,"High Risk","Worst Scenario")))</x:f>
        <x:v>Low Risk</x:v>
      </x:c>
      <x:c r="P134" s="28" t="n">
        <x:f>IF(A134="Purchase Order Funding",Inputs!$G$13,IF(B134=500000,180,IF(B134=750000,365,1095)))</x:f>
        <x:v>365</x:v>
      </x:c>
      <x:c r="Q134" s="20" t="n">
        <x:f>D134</x:f>
        <x:v>0.155</x:v>
      </x:c>
      <x:c r="R134" s="30" t="n">
        <x:f>B134+C134+E134+F134+L134</x:f>
        <x:v>863121.9178082192</x:v>
      </x:c>
      <x:c r="S134" s="30" t="n">
        <x:f>(B134+E134)*J134</x:f>
        <x:v>538.2191780821918</x:v>
      </x:c>
      <x:c r="T134" s="30" t="n">
        <x:f>C134+E134+F134+L134</x:f>
        <x:v>113121.91780821918</x:v>
      </x:c>
      <x:c r="U134" s="30" t="n">
        <x:f>E134</x:f>
        <x:v>57328.767123287675</x:v>
      </x:c>
      <x:c r="V134" s="30" t="n">
        <x:f>C134</x:f>
        <x:v>1000</x:v>
      </x:c>
      <x:c r="W134" s="30" t="n">
        <x:f>F134</x:f>
        <x:v>22500</x:v>
      </x:c>
      <x:c r="X134" s="30" t="n">
        <x:f>L134</x:f>
        <x:v>32293.15068493151</x:v>
      </x:c>
      <x:c r="Y134" s="30" t="n">
        <x:f>SUM(U134:X134)</x:f>
        <x:v>113121.91780821918</x:v>
      </x:c>
    </x:row>
    <x:row r="135">
      <x:c r="A135" t="str">
        <x:v>Short Term Contract</x:v>
      </x:c>
      <x:c r="B135" s="30" t="n">
        <x:v>750000</x:v>
      </x:c>
      <x:c r="C135" s="30" t="n">
        <x:f>Inputs!$G$5</x:f>
        <x:v>1000</x:v>
      </x:c>
      <x:c r="D135" s="20" t="n">
        <x:f>Inputs!$G$4+VLOOKUP(M135,Inputs!$A$4:$B$7,2,FALSE)</x:f>
        <x:v>0.155</x:v>
      </x:c>
      <x:c r="E135" s="30" t="n">
        <x:f>B135*D135*N135/Inputs!$G$8</x:f>
        <x:v>57328.767123287675</x:v>
      </x:c>
      <x:c r="F135" s="30" t="n">
        <x:f>B135*Inputs!$G$6</x:f>
        <x:v>22500</x:v>
      </x:c>
      <x:c r="G135" t="str">
        <x:v>90 Days</x:v>
      </x:c>
      <x:c r="H135" s="28" t="n">
        <x:v>90</x:v>
      </x:c>
      <x:c r="I135" s="52" t="n">
        <x:f>Inputs!$G$7</x:f>
        <x:v>0.02</x:v>
      </x:c>
      <x:c r="J135" s="52" t="n">
        <x:f>I135/30</x:f>
        <x:v>0.0006666666666666666</x:v>
      </x:c>
      <x:c r="K135" s="52" t="n">
        <x:f>J135*H135</x:f>
        <x:v>0.06</x:v>
      </x:c>
      <x:c r="L135" s="30" t="n">
        <x:f>(B135+E135)*K135</x:f>
        <x:v>48439.72602739726</x:v>
      </x:c>
      <x:c r="M135" s="30" t="n">
        <x:f>E135</x:f>
        <x:v>57328.767123287675</x:v>
      </x:c>
      <x:c r="N135" s="30">
        <x:f>R135-C135-F135</x:f>
      </x:c>
      <x:c r="O135" s="20" t="str">
        <x:f>IF(ABS(D135-(Inputs!$G$4+Inputs!$B$4))&lt;0.000001,"Low Risk",IF(ABS(D135-(Inputs!$G$4+Inputs!$B$5))&lt;0.000001,"Moderate Risk",IF(ABS(D135-(Inputs!$G$4+Inputs!$B$6))&lt;0.000001,"High Risk","Worst Scenario")))</x:f>
        <x:v>Low Risk</x:v>
      </x:c>
      <x:c r="P135" s="28" t="n">
        <x:f>IF(A135="Purchase Order Funding",Inputs!$G$13,IF(B135=500000,180,IF(B135=750000,365,1095)))</x:f>
        <x:v>365</x:v>
      </x:c>
      <x:c r="Q135" s="20" t="n">
        <x:f>D135</x:f>
        <x:v>0.155</x:v>
      </x:c>
      <x:c r="R135" s="30" t="n">
        <x:f>B135+C135+E135+F135+L135</x:f>
        <x:v>879268.4931506849</x:v>
      </x:c>
      <x:c r="S135" s="30" t="n">
        <x:f>(B135+E135)*J135</x:f>
        <x:v>538.2191780821918</x:v>
      </x:c>
      <x:c r="T135" s="30" t="n">
        <x:f>C135+E135+F135+L135</x:f>
        <x:v>129268.49315068492</x:v>
      </x:c>
      <x:c r="U135" s="30" t="n">
        <x:f>E135</x:f>
        <x:v>57328.767123287675</x:v>
      </x:c>
      <x:c r="V135" s="30" t="n">
        <x:f>C135</x:f>
        <x:v>1000</x:v>
      </x:c>
      <x:c r="W135" s="30" t="n">
        <x:f>F135</x:f>
        <x:v>22500</x:v>
      </x:c>
      <x:c r="X135" s="30" t="n">
        <x:f>L135</x:f>
        <x:v>48439.72602739726</x:v>
      </x:c>
      <x:c r="Y135" s="30" t="n">
        <x:f>SUM(U135:X135)</x:f>
        <x:v>129268.49315068492</x:v>
      </x:c>
    </x:row>
    <x:row r="136">
      <x:c r="A136" t="str">
        <x:v>Short Term Contract</x:v>
      </x:c>
      <x:c r="B136" s="30" t="n">
        <x:v>750000</x:v>
      </x:c>
      <x:c r="C136" s="30" t="n">
        <x:f>Inputs!$G$5</x:f>
        <x:v>1000</x:v>
      </x:c>
      <x:c r="D136" s="20" t="n">
        <x:f>Inputs!$G$4+VLOOKUP(M136,Inputs!$A$4:$B$7,2,FALSE)</x:f>
        <x:v>0.155</x:v>
      </x:c>
      <x:c r="E136" s="30" t="n">
        <x:f>B136*D136*N136/Inputs!$G$8</x:f>
        <x:v>57328.767123287675</x:v>
      </x:c>
      <x:c r="F136" s="30" t="n">
        <x:f>B136*Inputs!$G$6</x:f>
        <x:v>22500</x:v>
      </x:c>
      <x:c r="G136" t="str">
        <x:v>120 Days</x:v>
      </x:c>
      <x:c r="H136" s="28" t="n">
        <x:v>120</x:v>
      </x:c>
      <x:c r="I136" s="52" t="n">
        <x:f>Inputs!$G$7</x:f>
        <x:v>0.02</x:v>
      </x:c>
      <x:c r="J136" s="52" t="n">
        <x:f>I136/30</x:f>
        <x:v>0.0006666666666666666</x:v>
      </x:c>
      <x:c r="K136" s="52" t="n">
        <x:f>J136*H136</x:f>
        <x:v>0.08</x:v>
      </x:c>
      <x:c r="L136" s="30" t="n">
        <x:f>(B136+E136)*K136</x:f>
        <x:v>64586.30136986302</x:v>
      </x:c>
      <x:c r="M136" s="30" t="n">
        <x:f>E136</x:f>
        <x:v>57328.767123287675</x:v>
      </x:c>
      <x:c r="N136" s="30">
        <x:f>R136-C136-F136</x:f>
      </x:c>
      <x:c r="O136" s="20" t="str">
        <x:f>IF(ABS(D136-(Inputs!$G$4+Inputs!$B$4))&lt;0.000001,"Low Risk",IF(ABS(D136-(Inputs!$G$4+Inputs!$B$5))&lt;0.000001,"Moderate Risk",IF(ABS(D136-(Inputs!$G$4+Inputs!$B$6))&lt;0.000001,"High Risk","Worst Scenario")))</x:f>
        <x:v>Low Risk</x:v>
      </x:c>
      <x:c r="P136" s="28" t="n">
        <x:f>IF(A136="Purchase Order Funding",Inputs!$G$13,IF(B136=500000,180,IF(B136=750000,365,1095)))</x:f>
        <x:v>365</x:v>
      </x:c>
      <x:c r="Q136" s="20" t="n">
        <x:f>D136</x:f>
        <x:v>0.155</x:v>
      </x:c>
      <x:c r="R136" s="30" t="n">
        <x:f>B136+C136+E136+F136+L136</x:f>
        <x:v>895415.0684931506</x:v>
      </x:c>
      <x:c r="S136" s="30" t="n">
        <x:f>(B136+E136)*J136</x:f>
        <x:v>538.2191780821918</x:v>
      </x:c>
      <x:c r="T136" s="30" t="n">
        <x:f>C136+E136+F136+L136</x:f>
        <x:v>145415.0684931507</x:v>
      </x:c>
      <x:c r="U136" s="30" t="n">
        <x:f>E136</x:f>
        <x:v>57328.767123287675</x:v>
      </x:c>
      <x:c r="V136" s="30" t="n">
        <x:f>C136</x:f>
        <x:v>1000</x:v>
      </x:c>
      <x:c r="W136" s="30" t="n">
        <x:f>F136</x:f>
        <x:v>22500</x:v>
      </x:c>
      <x:c r="X136" s="30" t="n">
        <x:f>L136</x:f>
        <x:v>64586.30136986302</x:v>
      </x:c>
      <x:c r="Y136" s="30" t="n">
        <x:f>SUM(U136:X136)</x:f>
        <x:v>145415.0684931507</x:v>
      </x:c>
    </x:row>
    <x:row r="137">
      <x:c r="A137" t="str">
        <x:v>Short Term Contract</x:v>
      </x:c>
      <x:c r="B137" s="30" t="n">
        <x:v>750000</x:v>
      </x:c>
      <x:c r="C137" s="30" t="n">
        <x:f>Inputs!$G$5</x:f>
        <x:v>1000</x:v>
      </x:c>
      <x:c r="D137" s="20" t="n">
        <x:f>Inputs!$G$4+VLOOKUP(M137,Inputs!$A$4:$B$7,2,FALSE)</x:f>
        <x:v>0.16999999999999998</x:v>
      </x:c>
      <x:c r="E137" s="30" t="n">
        <x:f>B137*D137*N137/Inputs!$G$8</x:f>
        <x:v>62876.71232876711</x:v>
      </x:c>
      <x:c r="F137" s="30" t="n">
        <x:f>B137*Inputs!$G$6</x:f>
        <x:v>22500</x:v>
      </x:c>
      <x:c r="G137" t="str">
        <x:v>30 Days</x:v>
      </x:c>
      <x:c r="H137" s="28" t="n">
        <x:v>30</x:v>
      </x:c>
      <x:c r="I137" s="52" t="n">
        <x:f>Inputs!$G$7</x:f>
        <x:v>0.02</x:v>
      </x:c>
      <x:c r="J137" s="52" t="n">
        <x:f>I137/30</x:f>
        <x:v>0.0006666666666666666</x:v>
      </x:c>
      <x:c r="K137" s="52" t="n">
        <x:f>J137*H137</x:f>
        <x:v>0.02</x:v>
      </x:c>
      <x:c r="L137" s="30" t="n">
        <x:f>(B137+E137)*K137</x:f>
        <x:v>16257.534246575344</x:v>
      </x:c>
      <x:c r="M137" s="30" t="n">
        <x:f>E137</x:f>
        <x:v>62876.71232876711</x:v>
      </x:c>
      <x:c r="N137" s="30">
        <x:f>R137-C137-F137</x:f>
      </x:c>
      <x:c r="O137" s="20" t="str">
        <x:f>IF(ABS(D137-(Inputs!$G$4+Inputs!$B$4))&lt;0.000001,"Low Risk",IF(ABS(D137-(Inputs!$G$4+Inputs!$B$5))&lt;0.000001,"Moderate Risk",IF(ABS(D137-(Inputs!$G$4+Inputs!$B$6))&lt;0.000001,"High Risk","Worst Scenario")))</x:f>
        <x:v>Moderate Risk</x:v>
      </x:c>
      <x:c r="P137" s="28" t="n">
        <x:f>IF(A137="Purchase Order Funding",Inputs!$G$13,IF(B137=500000,180,IF(B137=750000,365,1095)))</x:f>
        <x:v>365</x:v>
      </x:c>
      <x:c r="Q137" s="20" t="n">
        <x:f>D137</x:f>
        <x:v>0.16999999999999998</x:v>
      </x:c>
      <x:c r="R137" s="30" t="n">
        <x:f>B137+C137+E137+F137+L137</x:f>
        <x:v>852634.2465753425</x:v>
      </x:c>
      <x:c r="S137" s="30" t="n">
        <x:f>(B137+E137)*J137</x:f>
        <x:v>541.9178082191781</x:v>
      </x:c>
      <x:c r="T137" s="30" t="n">
        <x:f>C137+E137+F137+L137</x:f>
        <x:v>102634.24657534246</x:v>
      </x:c>
      <x:c r="U137" s="30" t="n">
        <x:f>E137</x:f>
        <x:v>62876.71232876711</x:v>
      </x:c>
      <x:c r="V137" s="30" t="n">
        <x:f>C137</x:f>
        <x:v>1000</x:v>
      </x:c>
      <x:c r="W137" s="30" t="n">
        <x:f>F137</x:f>
        <x:v>22500</x:v>
      </x:c>
      <x:c r="X137" s="30" t="n">
        <x:f>L137</x:f>
        <x:v>16257.534246575344</x:v>
      </x:c>
      <x:c r="Y137" s="30" t="n">
        <x:f>SUM(U137:X137)</x:f>
        <x:v>102634.24657534246</x:v>
      </x:c>
    </x:row>
    <x:row r="138">
      <x:c r="A138" t="str">
        <x:v>Short Term Contract</x:v>
      </x:c>
      <x:c r="B138" s="30" t="n">
        <x:v>750000</x:v>
      </x:c>
      <x:c r="C138" s="30" t="n">
        <x:f>Inputs!$G$5</x:f>
        <x:v>1000</x:v>
      </x:c>
      <x:c r="D138" s="20" t="n">
        <x:f>Inputs!$G$4+VLOOKUP(M138,Inputs!$A$4:$B$7,2,FALSE)</x:f>
        <x:v>0.16999999999999998</x:v>
      </x:c>
      <x:c r="E138" s="30" t="n">
        <x:f>B138*D138*N138/Inputs!$G$8</x:f>
        <x:v>62876.71232876711</x:v>
      </x:c>
      <x:c r="F138" s="30" t="n">
        <x:f>B138*Inputs!$G$6</x:f>
        <x:v>22500</x:v>
      </x:c>
      <x:c r="G138" t="str">
        <x:v>60 Days</x:v>
      </x:c>
      <x:c r="H138" s="28" t="n">
        <x:v>60</x:v>
      </x:c>
      <x:c r="I138" s="52" t="n">
        <x:f>Inputs!$G$7</x:f>
        <x:v>0.02</x:v>
      </x:c>
      <x:c r="J138" s="52" t="n">
        <x:f>I138/30</x:f>
        <x:v>0.0006666666666666666</x:v>
      </x:c>
      <x:c r="K138" s="52" t="n">
        <x:f>J138*H138</x:f>
        <x:v>0.04</x:v>
      </x:c>
      <x:c r="L138" s="30" t="n">
        <x:f>(B138+E138)*K138</x:f>
        <x:v>32515.068493150688</x:v>
      </x:c>
      <x:c r="M138" s="30" t="n">
        <x:f>E138</x:f>
        <x:v>62876.71232876711</x:v>
      </x:c>
      <x:c r="N138" s="30">
        <x:f>R138-C138-F138</x:f>
      </x:c>
      <x:c r="O138" s="20" t="str">
        <x:f>IF(ABS(D138-(Inputs!$G$4+Inputs!$B$4))&lt;0.000001,"Low Risk",IF(ABS(D138-(Inputs!$G$4+Inputs!$B$5))&lt;0.000001,"Moderate Risk",IF(ABS(D138-(Inputs!$G$4+Inputs!$B$6))&lt;0.000001,"High Risk","Worst Scenario")))</x:f>
        <x:v>Moderate Risk</x:v>
      </x:c>
      <x:c r="P138" s="28" t="n">
        <x:f>IF(A138="Purchase Order Funding",Inputs!$G$13,IF(B138=500000,180,IF(B138=750000,365,1095)))</x:f>
        <x:v>365</x:v>
      </x:c>
      <x:c r="Q138" s="20" t="n">
        <x:f>D138</x:f>
        <x:v>0.16999999999999998</x:v>
      </x:c>
      <x:c r="R138" s="30" t="n">
        <x:f>B138+C138+E138+F138+L138</x:f>
        <x:v>868891.7808219178</x:v>
      </x:c>
      <x:c r="S138" s="30" t="n">
        <x:f>(B138+E138)*J138</x:f>
        <x:v>541.9178082191781</x:v>
      </x:c>
      <x:c r="T138" s="30" t="n">
        <x:f>C138+E138+F138+L138</x:f>
        <x:v>118891.7808219178</x:v>
      </x:c>
      <x:c r="U138" s="30" t="n">
        <x:f>E138</x:f>
        <x:v>62876.71232876711</x:v>
      </x:c>
      <x:c r="V138" s="30" t="n">
        <x:f>C138</x:f>
        <x:v>1000</x:v>
      </x:c>
      <x:c r="W138" s="30" t="n">
        <x:f>F138</x:f>
        <x:v>22500</x:v>
      </x:c>
      <x:c r="X138" s="30" t="n">
        <x:f>L138</x:f>
        <x:v>32515.068493150688</x:v>
      </x:c>
      <x:c r="Y138" s="30" t="n">
        <x:f>SUM(U138:X138)</x:f>
        <x:v>118891.7808219178</x:v>
      </x:c>
    </x:row>
    <x:row r="139">
      <x:c r="A139" t="str">
        <x:v>Short Term Contract</x:v>
      </x:c>
      <x:c r="B139" s="30" t="n">
        <x:v>750000</x:v>
      </x:c>
      <x:c r="C139" s="30" t="n">
        <x:f>Inputs!$G$5</x:f>
        <x:v>1000</x:v>
      </x:c>
      <x:c r="D139" s="20" t="n">
        <x:f>Inputs!$G$4+VLOOKUP(M139,Inputs!$A$4:$B$7,2,FALSE)</x:f>
        <x:v>0.16999999999999998</x:v>
      </x:c>
      <x:c r="E139" s="30" t="n">
        <x:f>B139*D139*N139/Inputs!$G$8</x:f>
        <x:v>62876.71232876711</x:v>
      </x:c>
      <x:c r="F139" s="30" t="n">
        <x:f>B139*Inputs!$G$6</x:f>
        <x:v>22500</x:v>
      </x:c>
      <x:c r="G139" t="str">
        <x:v>90 Days</x:v>
      </x:c>
      <x:c r="H139" s="28" t="n">
        <x:v>90</x:v>
      </x:c>
      <x:c r="I139" s="52" t="n">
        <x:f>Inputs!$G$7</x:f>
        <x:v>0.02</x:v>
      </x:c>
      <x:c r="J139" s="52" t="n">
        <x:f>I139/30</x:f>
        <x:v>0.0006666666666666666</x:v>
      </x:c>
      <x:c r="K139" s="52" t="n">
        <x:f>J139*H139</x:f>
        <x:v>0.06</x:v>
      </x:c>
      <x:c r="L139" s="30" t="n">
        <x:f>(B139+E139)*K139</x:f>
        <x:v>48772.602739726026</x:v>
      </x:c>
      <x:c r="M139" s="30" t="n">
        <x:f>E139</x:f>
        <x:v>62876.71232876711</x:v>
      </x:c>
      <x:c r="N139" s="30">
        <x:f>R139-C139-F139</x:f>
      </x:c>
      <x:c r="O139" s="20" t="str">
        <x:f>IF(ABS(D139-(Inputs!$G$4+Inputs!$B$4))&lt;0.000001,"Low Risk",IF(ABS(D139-(Inputs!$G$4+Inputs!$B$5))&lt;0.000001,"Moderate Risk",IF(ABS(D139-(Inputs!$G$4+Inputs!$B$6))&lt;0.000001,"High Risk","Worst Scenario")))</x:f>
        <x:v>Moderate Risk</x:v>
      </x:c>
      <x:c r="P139" s="28" t="n">
        <x:f>IF(A139="Purchase Order Funding",Inputs!$G$13,IF(B139=500000,180,IF(B139=750000,365,1095)))</x:f>
        <x:v>365</x:v>
      </x:c>
      <x:c r="Q139" s="20" t="n">
        <x:f>D139</x:f>
        <x:v>0.16999999999999998</x:v>
      </x:c>
      <x:c r="R139" s="30" t="n">
        <x:f>B139+C139+E139+F139+L139</x:f>
        <x:v>885149.3150684932</x:v>
      </x:c>
      <x:c r="S139" s="30" t="n">
        <x:f>(B139+E139)*J139</x:f>
        <x:v>541.9178082191781</x:v>
      </x:c>
      <x:c r="T139" s="30" t="n">
        <x:f>C139+E139+F139+L139</x:f>
        <x:v>135149.31506849313</x:v>
      </x:c>
      <x:c r="U139" s="30" t="n">
        <x:f>E139</x:f>
        <x:v>62876.71232876711</x:v>
      </x:c>
      <x:c r="V139" s="30" t="n">
        <x:f>C139</x:f>
        <x:v>1000</x:v>
      </x:c>
      <x:c r="W139" s="30" t="n">
        <x:f>F139</x:f>
        <x:v>22500</x:v>
      </x:c>
      <x:c r="X139" s="30" t="n">
        <x:f>L139</x:f>
        <x:v>48772.602739726026</x:v>
      </x:c>
      <x:c r="Y139" s="30" t="n">
        <x:f>SUM(U139:X139)</x:f>
        <x:v>135149.31506849313</x:v>
      </x:c>
    </x:row>
    <x:row r="140">
      <x:c r="A140" t="str">
        <x:v>Short Term Contract</x:v>
      </x:c>
      <x:c r="B140" s="30" t="n">
        <x:v>750000</x:v>
      </x:c>
      <x:c r="C140" s="30" t="n">
        <x:f>Inputs!$G$5</x:f>
        <x:v>1000</x:v>
      </x:c>
      <x:c r="D140" s="20" t="n">
        <x:f>Inputs!$G$4+VLOOKUP(M140,Inputs!$A$4:$B$7,2,FALSE)</x:f>
        <x:v>0.16999999999999998</x:v>
      </x:c>
      <x:c r="E140" s="30" t="n">
        <x:f>B140*D140*N140/Inputs!$G$8</x:f>
        <x:v>62876.71232876711</x:v>
      </x:c>
      <x:c r="F140" s="30" t="n">
        <x:f>B140*Inputs!$G$6</x:f>
        <x:v>22500</x:v>
      </x:c>
      <x:c r="G140" t="str">
        <x:v>120 Days</x:v>
      </x:c>
      <x:c r="H140" s="28" t="n">
        <x:v>120</x:v>
      </x:c>
      <x:c r="I140" s="52" t="n">
        <x:f>Inputs!$G$7</x:f>
        <x:v>0.02</x:v>
      </x:c>
      <x:c r="J140" s="52" t="n">
        <x:f>I140/30</x:f>
        <x:v>0.0006666666666666666</x:v>
      </x:c>
      <x:c r="K140" s="52" t="n">
        <x:f>J140*H140</x:f>
        <x:v>0.08</x:v>
      </x:c>
      <x:c r="L140" s="30" t="n">
        <x:f>(B140+E140)*K140</x:f>
        <x:v>65030.136986301375</x:v>
      </x:c>
      <x:c r="M140" s="30" t="n">
        <x:f>E140</x:f>
        <x:v>62876.71232876711</x:v>
      </x:c>
      <x:c r="N140" s="30">
        <x:f>R140-C140-F140</x:f>
      </x:c>
      <x:c r="O140" s="20" t="str">
        <x:f>IF(ABS(D140-(Inputs!$G$4+Inputs!$B$4))&lt;0.000001,"Low Risk",IF(ABS(D140-(Inputs!$G$4+Inputs!$B$5))&lt;0.000001,"Moderate Risk",IF(ABS(D140-(Inputs!$G$4+Inputs!$B$6))&lt;0.000001,"High Risk","Worst Scenario")))</x:f>
        <x:v>Moderate Risk</x:v>
      </x:c>
      <x:c r="P140" s="28" t="n">
        <x:f>IF(A140="Purchase Order Funding",Inputs!$G$13,IF(B140=500000,180,IF(B140=750000,365,1095)))</x:f>
        <x:v>365</x:v>
      </x:c>
      <x:c r="Q140" s="20" t="n">
        <x:f>D140</x:f>
        <x:v>0.16999999999999998</x:v>
      </x:c>
      <x:c r="R140" s="30" t="n">
        <x:f>B140+C140+E140+F140+L140</x:f>
        <x:v>901406.8493150686</x:v>
      </x:c>
      <x:c r="S140" s="30" t="n">
        <x:f>(B140+E140)*J140</x:f>
        <x:v>541.9178082191781</x:v>
      </x:c>
      <x:c r="T140" s="30" t="n">
        <x:f>C140+E140+F140+L140</x:f>
        <x:v>151406.84931506848</x:v>
      </x:c>
      <x:c r="U140" s="30" t="n">
        <x:f>E140</x:f>
        <x:v>62876.71232876711</x:v>
      </x:c>
      <x:c r="V140" s="30" t="n">
        <x:f>C140</x:f>
        <x:v>1000</x:v>
      </x:c>
      <x:c r="W140" s="30" t="n">
        <x:f>F140</x:f>
        <x:v>22500</x:v>
      </x:c>
      <x:c r="X140" s="30" t="n">
        <x:f>L140</x:f>
        <x:v>65030.136986301375</x:v>
      </x:c>
      <x:c r="Y140" s="30" t="n">
        <x:f>SUM(U140:X140)</x:f>
        <x:v>151406.84931506848</x:v>
      </x:c>
    </x:row>
    <x:row r="141">
      <x:c r="A141" t="str">
        <x:v>Short Term Contract</x:v>
      </x:c>
      <x:c r="B141" s="30" t="n">
        <x:v>750000</x:v>
      </x:c>
      <x:c r="C141" s="30" t="n">
        <x:f>Inputs!$G$5</x:f>
        <x:v>1000</x:v>
      </x:c>
      <x:c r="D141" s="20" t="n">
        <x:f>Inputs!$G$4+VLOOKUP(M141,Inputs!$A$4:$B$7,2,FALSE)</x:f>
        <x:v>0.19</x:v>
      </x:c>
      <x:c r="E141" s="30" t="n">
        <x:f>B141*D141*N141/Inputs!$G$8</x:f>
        <x:v>70273.97260273973</x:v>
      </x:c>
      <x:c r="F141" s="30" t="n">
        <x:f>B141*Inputs!$G$6</x:f>
        <x:v>22500</x:v>
      </x:c>
      <x:c r="G141" t="str">
        <x:v>30 Days</x:v>
      </x:c>
      <x:c r="H141" s="28" t="n">
        <x:v>30</x:v>
      </x:c>
      <x:c r="I141" s="52" t="n">
        <x:f>Inputs!$G$7</x:f>
        <x:v>0.02</x:v>
      </x:c>
      <x:c r="J141" s="52" t="n">
        <x:f>I141/30</x:f>
        <x:v>0.0006666666666666666</x:v>
      </x:c>
      <x:c r="K141" s="52" t="n">
        <x:f>J141*H141</x:f>
        <x:v>0.02</x:v>
      </x:c>
      <x:c r="L141" s="30" t="n">
        <x:f>(B141+E141)*K141</x:f>
        <x:v>16405.479452054795</x:v>
      </x:c>
      <x:c r="M141" s="30" t="n">
        <x:f>E141</x:f>
        <x:v>70273.97260273973</x:v>
      </x:c>
      <x:c r="N141" s="30">
        <x:f>R141-C141-F141</x:f>
      </x:c>
      <x:c r="O141" s="20" t="str">
        <x:f>IF(ABS(D141-(Inputs!$G$4+Inputs!$B$4))&lt;0.000001,"Low Risk",IF(ABS(D141-(Inputs!$G$4+Inputs!$B$5))&lt;0.000001,"Moderate Risk",IF(ABS(D141-(Inputs!$G$4+Inputs!$B$6))&lt;0.000001,"High Risk","Worst Scenario")))</x:f>
        <x:v>High Risk</x:v>
      </x:c>
      <x:c r="P141" s="28" t="n">
        <x:f>IF(A141="Purchase Order Funding",Inputs!$G$13,IF(B141=500000,180,IF(B141=750000,365,1095)))</x:f>
        <x:v>365</x:v>
      </x:c>
      <x:c r="Q141" s="20" t="n">
        <x:f>D141</x:f>
        <x:v>0.19</x:v>
      </x:c>
      <x:c r="R141" s="30" t="n">
        <x:f>B141+C141+E141+F141+L141</x:f>
        <x:v>860179.4520547945</x:v>
      </x:c>
      <x:c r="S141" s="30" t="n">
        <x:f>(B141+E141)*J141</x:f>
        <x:v>546.8493150684931</x:v>
      </x:c>
      <x:c r="T141" s="30" t="n">
        <x:f>C141+E141+F141+L141</x:f>
        <x:v>110179.45205479453</x:v>
      </x:c>
      <x:c r="U141" s="30" t="n">
        <x:f>E141</x:f>
        <x:v>70273.97260273973</x:v>
      </x:c>
      <x:c r="V141" s="30" t="n">
        <x:f>C141</x:f>
        <x:v>1000</x:v>
      </x:c>
      <x:c r="W141" s="30" t="n">
        <x:f>F141</x:f>
        <x:v>22500</x:v>
      </x:c>
      <x:c r="X141" s="30" t="n">
        <x:f>L141</x:f>
        <x:v>16405.479452054795</x:v>
      </x:c>
      <x:c r="Y141" s="30" t="n">
        <x:f>SUM(U141:X141)</x:f>
        <x:v>110179.45205479453</x:v>
      </x:c>
    </x:row>
    <x:row r="142">
      <x:c r="A142" t="str">
        <x:v>Short Term Contract</x:v>
      </x:c>
      <x:c r="B142" s="30" t="n">
        <x:v>750000</x:v>
      </x:c>
      <x:c r="C142" s="30" t="n">
        <x:f>Inputs!$G$5</x:f>
        <x:v>1000</x:v>
      </x:c>
      <x:c r="D142" s="20" t="n">
        <x:f>Inputs!$G$4+VLOOKUP(M142,Inputs!$A$4:$B$7,2,FALSE)</x:f>
        <x:v>0.19</x:v>
      </x:c>
      <x:c r="E142" s="30" t="n">
        <x:f>B142*D142*N142/Inputs!$G$8</x:f>
        <x:v>70273.97260273973</x:v>
      </x:c>
      <x:c r="F142" s="30" t="n">
        <x:f>B142*Inputs!$G$6</x:f>
        <x:v>22500</x:v>
      </x:c>
      <x:c r="G142" t="str">
        <x:v>60 Days</x:v>
      </x:c>
      <x:c r="H142" s="28" t="n">
        <x:v>60</x:v>
      </x:c>
      <x:c r="I142" s="52" t="n">
        <x:f>Inputs!$G$7</x:f>
        <x:v>0.02</x:v>
      </x:c>
      <x:c r="J142" s="52" t="n">
        <x:f>I142/30</x:f>
        <x:v>0.0006666666666666666</x:v>
      </x:c>
      <x:c r="K142" s="52" t="n">
        <x:f>J142*H142</x:f>
        <x:v>0.04</x:v>
      </x:c>
      <x:c r="L142" s="30" t="n">
        <x:f>(B142+E142)*K142</x:f>
        <x:v>32810.95890410959</x:v>
      </x:c>
      <x:c r="M142" s="30" t="n">
        <x:f>E142</x:f>
        <x:v>70273.97260273973</x:v>
      </x:c>
      <x:c r="N142" s="30">
        <x:f>R142-C142-F142</x:f>
      </x:c>
      <x:c r="O142" s="20" t="str">
        <x:f>IF(ABS(D142-(Inputs!$G$4+Inputs!$B$4))&lt;0.000001,"Low Risk",IF(ABS(D142-(Inputs!$G$4+Inputs!$B$5))&lt;0.000001,"Moderate Risk",IF(ABS(D142-(Inputs!$G$4+Inputs!$B$6))&lt;0.000001,"High Risk","Worst Scenario")))</x:f>
        <x:v>High Risk</x:v>
      </x:c>
      <x:c r="P142" s="28" t="n">
        <x:f>IF(A142="Purchase Order Funding",Inputs!$G$13,IF(B142=500000,180,IF(B142=750000,365,1095)))</x:f>
        <x:v>365</x:v>
      </x:c>
      <x:c r="Q142" s="20" t="n">
        <x:f>D142</x:f>
        <x:v>0.19</x:v>
      </x:c>
      <x:c r="R142" s="30" t="n">
        <x:f>B142+C142+E142+F142+L142</x:f>
        <x:v>876584.9315068492</x:v>
      </x:c>
      <x:c r="S142" s="30" t="n">
        <x:f>(B142+E142)*J142</x:f>
        <x:v>546.8493150684931</x:v>
      </x:c>
      <x:c r="T142" s="30" t="n">
        <x:f>C142+E142+F142+L142</x:f>
        <x:v>126584.93150684932</x:v>
      </x:c>
      <x:c r="U142" s="30" t="n">
        <x:f>E142</x:f>
        <x:v>70273.97260273973</x:v>
      </x:c>
      <x:c r="V142" s="30" t="n">
        <x:f>C142</x:f>
        <x:v>1000</x:v>
      </x:c>
      <x:c r="W142" s="30" t="n">
        <x:f>F142</x:f>
        <x:v>22500</x:v>
      </x:c>
      <x:c r="X142" s="30" t="n">
        <x:f>L142</x:f>
        <x:v>32810.95890410959</x:v>
      </x:c>
      <x:c r="Y142" s="30" t="n">
        <x:f>SUM(U142:X142)</x:f>
        <x:v>126584.93150684932</x:v>
      </x:c>
    </x:row>
    <x:row r="143">
      <x:c r="A143" t="str">
        <x:v>Short Term Contract</x:v>
      </x:c>
      <x:c r="B143" s="30" t="n">
        <x:v>750000</x:v>
      </x:c>
      <x:c r="C143" s="30" t="n">
        <x:f>Inputs!$G$5</x:f>
        <x:v>1000</x:v>
      </x:c>
      <x:c r="D143" s="20" t="n">
        <x:f>Inputs!$G$4+VLOOKUP(M143,Inputs!$A$4:$B$7,2,FALSE)</x:f>
        <x:v>0.19</x:v>
      </x:c>
      <x:c r="E143" s="30" t="n">
        <x:f>B143*D143*N143/Inputs!$G$8</x:f>
        <x:v>70273.97260273973</x:v>
      </x:c>
      <x:c r="F143" s="30" t="n">
        <x:f>B143*Inputs!$G$6</x:f>
        <x:v>22500</x:v>
      </x:c>
      <x:c r="G143" t="str">
        <x:v>90 Days</x:v>
      </x:c>
      <x:c r="H143" s="28" t="n">
        <x:v>90</x:v>
      </x:c>
      <x:c r="I143" s="52" t="n">
        <x:f>Inputs!$G$7</x:f>
        <x:v>0.02</x:v>
      </x:c>
      <x:c r="J143" s="52" t="n">
        <x:f>I143/30</x:f>
        <x:v>0.0006666666666666666</x:v>
      </x:c>
      <x:c r="K143" s="52" t="n">
        <x:f>J143*H143</x:f>
        <x:v>0.06</x:v>
      </x:c>
      <x:c r="L143" s="30" t="n">
        <x:f>(B143+E143)*K143</x:f>
        <x:v>49216.43835616438</x:v>
      </x:c>
      <x:c r="M143" s="30" t="n">
        <x:f>E143</x:f>
        <x:v>70273.97260273973</x:v>
      </x:c>
      <x:c r="N143" s="30">
        <x:f>R143-C143-F143</x:f>
      </x:c>
      <x:c r="O143" s="20" t="str">
        <x:f>IF(ABS(D143-(Inputs!$G$4+Inputs!$B$4))&lt;0.000001,"Low Risk",IF(ABS(D143-(Inputs!$G$4+Inputs!$B$5))&lt;0.000001,"Moderate Risk",IF(ABS(D143-(Inputs!$G$4+Inputs!$B$6))&lt;0.000001,"High Risk","Worst Scenario")))</x:f>
        <x:v>High Risk</x:v>
      </x:c>
      <x:c r="P143" s="28" t="n">
        <x:f>IF(A143="Purchase Order Funding",Inputs!$G$13,IF(B143=500000,180,IF(B143=750000,365,1095)))</x:f>
        <x:v>365</x:v>
      </x:c>
      <x:c r="Q143" s="20" t="n">
        <x:f>D143</x:f>
        <x:v>0.19</x:v>
      </x:c>
      <x:c r="R143" s="30" t="n">
        <x:f>B143+C143+E143+F143+L143</x:f>
        <x:v>892990.4109589041</x:v>
      </x:c>
      <x:c r="S143" s="30" t="n">
        <x:f>(B143+E143)*J143</x:f>
        <x:v>546.8493150684931</x:v>
      </x:c>
      <x:c r="T143" s="30" t="n">
        <x:f>C143+E143+F143+L143</x:f>
        <x:v>142990.4109589041</x:v>
      </x:c>
      <x:c r="U143" s="30" t="n">
        <x:f>E143</x:f>
        <x:v>70273.97260273973</x:v>
      </x:c>
      <x:c r="V143" s="30" t="n">
        <x:f>C143</x:f>
        <x:v>1000</x:v>
      </x:c>
      <x:c r="W143" s="30" t="n">
        <x:f>F143</x:f>
        <x:v>22500</x:v>
      </x:c>
      <x:c r="X143" s="30" t="n">
        <x:f>L143</x:f>
        <x:v>49216.43835616438</x:v>
      </x:c>
      <x:c r="Y143" s="30" t="n">
        <x:f>SUM(U143:X143)</x:f>
        <x:v>142990.4109589041</x:v>
      </x:c>
    </x:row>
    <x:row r="144">
      <x:c r="A144" t="str">
        <x:v>Short Term Contract</x:v>
      </x:c>
      <x:c r="B144" s="30" t="n">
        <x:v>750000</x:v>
      </x:c>
      <x:c r="C144" s="30" t="n">
        <x:f>Inputs!$G$5</x:f>
        <x:v>1000</x:v>
      </x:c>
      <x:c r="D144" s="20" t="n">
        <x:f>Inputs!$G$4+VLOOKUP(M144,Inputs!$A$4:$B$7,2,FALSE)</x:f>
        <x:v>0.19</x:v>
      </x:c>
      <x:c r="E144" s="30" t="n">
        <x:f>B144*D144*N144/Inputs!$G$8</x:f>
        <x:v>70273.97260273973</x:v>
      </x:c>
      <x:c r="F144" s="30" t="n">
        <x:f>B144*Inputs!$G$6</x:f>
        <x:v>22500</x:v>
      </x:c>
      <x:c r="G144" t="str">
        <x:v>120 Days</x:v>
      </x:c>
      <x:c r="H144" s="28" t="n">
        <x:v>120</x:v>
      </x:c>
      <x:c r="I144" s="52" t="n">
        <x:f>Inputs!$G$7</x:f>
        <x:v>0.02</x:v>
      </x:c>
      <x:c r="J144" s="52" t="n">
        <x:f>I144/30</x:f>
        <x:v>0.0006666666666666666</x:v>
      </x:c>
      <x:c r="K144" s="52" t="n">
        <x:f>J144*H144</x:f>
        <x:v>0.08</x:v>
      </x:c>
      <x:c r="L144" s="30" t="n">
        <x:f>(B144+E144)*K144</x:f>
        <x:v>65621.91780821918</x:v>
      </x:c>
      <x:c r="M144" s="30" t="n">
        <x:f>E144</x:f>
        <x:v>70273.97260273973</x:v>
      </x:c>
      <x:c r="N144" s="30">
        <x:f>R144-C144-F144</x:f>
      </x:c>
      <x:c r="O144" s="20" t="str">
        <x:f>IF(ABS(D144-(Inputs!$G$4+Inputs!$B$4))&lt;0.000001,"Low Risk",IF(ABS(D144-(Inputs!$G$4+Inputs!$B$5))&lt;0.000001,"Moderate Risk",IF(ABS(D144-(Inputs!$G$4+Inputs!$B$6))&lt;0.000001,"High Risk","Worst Scenario")))</x:f>
        <x:v>High Risk</x:v>
      </x:c>
      <x:c r="P144" s="28" t="n">
        <x:f>IF(A144="Purchase Order Funding",Inputs!$G$13,IF(B144=500000,180,IF(B144=750000,365,1095)))</x:f>
        <x:v>365</x:v>
      </x:c>
      <x:c r="Q144" s="20" t="n">
        <x:f>D144</x:f>
        <x:v>0.19</x:v>
      </x:c>
      <x:c r="R144" s="30" t="n">
        <x:f>B144+C144+E144+F144+L144</x:f>
        <x:v>909395.8904109589</x:v>
      </x:c>
      <x:c r="S144" s="30" t="n">
        <x:f>(B144+E144)*J144</x:f>
        <x:v>546.8493150684931</x:v>
      </x:c>
      <x:c r="T144" s="30" t="n">
        <x:f>C144+E144+F144+L144</x:f>
        <x:v>159395.8904109589</x:v>
      </x:c>
      <x:c r="U144" s="30" t="n">
        <x:f>E144</x:f>
        <x:v>70273.97260273973</x:v>
      </x:c>
      <x:c r="V144" s="30" t="n">
        <x:f>C144</x:f>
        <x:v>1000</x:v>
      </x:c>
      <x:c r="W144" s="30" t="n">
        <x:f>F144</x:f>
        <x:v>22500</x:v>
      </x:c>
      <x:c r="X144" s="30" t="n">
        <x:f>L144</x:f>
        <x:v>65621.91780821918</x:v>
      </x:c>
      <x:c r="Y144" s="30" t="n">
        <x:f>SUM(U144:X144)</x:f>
        <x:v>159395.8904109589</x:v>
      </x:c>
    </x:row>
    <x:row r="145">
      <x:c r="A145" t="str">
        <x:v>Short Term Contract</x:v>
      </x:c>
      <x:c r="B145" s="30" t="n">
        <x:v>750000</x:v>
      </x:c>
      <x:c r="C145" s="30" t="n">
        <x:f>Inputs!$G$5</x:f>
        <x:v>1000</x:v>
      </x:c>
      <x:c r="D145" s="20" t="n">
        <x:f>Inputs!$G$4+VLOOKUP(M145,Inputs!$A$4:$B$7,2,FALSE)</x:f>
        <x:v>0.21</x:v>
      </x:c>
      <x:c r="E145" s="30" t="n">
        <x:f>B145*D145*N145/Inputs!$G$8</x:f>
        <x:v>77671.23287671233</x:v>
      </x:c>
      <x:c r="F145" s="30" t="n">
        <x:f>B145*Inputs!$G$6</x:f>
        <x:v>22500</x:v>
      </x:c>
      <x:c r="G145" t="str">
        <x:v>30 Days</x:v>
      </x:c>
      <x:c r="H145" s="28" t="n">
        <x:v>30</x:v>
      </x:c>
      <x:c r="I145" s="52" t="n">
        <x:f>Inputs!$G$7</x:f>
        <x:v>0.02</x:v>
      </x:c>
      <x:c r="J145" s="52" t="n">
        <x:f>I145/30</x:f>
        <x:v>0.0006666666666666666</x:v>
      </x:c>
      <x:c r="K145" s="52" t="n">
        <x:f>J145*H145</x:f>
        <x:v>0.02</x:v>
      </x:c>
      <x:c r="L145" s="30" t="n">
        <x:f>(B145+E145)*K145</x:f>
        <x:v>16553.424657534248</x:v>
      </x:c>
      <x:c r="M145" s="30" t="n">
        <x:f>E145</x:f>
        <x:v>77671.23287671233</x:v>
      </x:c>
      <x:c r="N145" s="30">
        <x:f>R145-C145-F145</x:f>
      </x:c>
      <x:c r="O145" s="20" t="str">
        <x:f>IF(ABS(D145-(Inputs!$G$4+Inputs!$B$4))&lt;0.000001,"Low Risk",IF(ABS(D145-(Inputs!$G$4+Inputs!$B$5))&lt;0.000001,"Moderate Risk",IF(ABS(D145-(Inputs!$G$4+Inputs!$B$6))&lt;0.000001,"High Risk","Worst Scenario")))</x:f>
        <x:v>Worst Scenario</x:v>
      </x:c>
      <x:c r="P145" s="28" t="n">
        <x:f>IF(A145="Purchase Order Funding",Inputs!$G$13,IF(B145=500000,180,IF(B145=750000,365,1095)))</x:f>
        <x:v>365</x:v>
      </x:c>
      <x:c r="Q145" s="20" t="n">
        <x:f>D145</x:f>
        <x:v>0.21</x:v>
      </x:c>
      <x:c r="R145" s="30" t="n">
        <x:f>B145+C145+E145+F145+L145</x:f>
        <x:v>867724.6575342466</x:v>
      </x:c>
      <x:c r="S145" s="30" t="n">
        <x:f>(B145+E145)*J145</x:f>
        <x:v>551.7808219178082</x:v>
      </x:c>
      <x:c r="T145" s="30" t="n">
        <x:f>C145+E145+F145+L145</x:f>
        <x:v>117724.65753424657</x:v>
      </x:c>
      <x:c r="U145" s="30" t="n">
        <x:f>E145</x:f>
        <x:v>77671.23287671233</x:v>
      </x:c>
      <x:c r="V145" s="30" t="n">
        <x:f>C145</x:f>
        <x:v>1000</x:v>
      </x:c>
      <x:c r="W145" s="30" t="n">
        <x:f>F145</x:f>
        <x:v>22500</x:v>
      </x:c>
      <x:c r="X145" s="30" t="n">
        <x:f>L145</x:f>
        <x:v>16553.424657534248</x:v>
      </x:c>
      <x:c r="Y145" s="30" t="n">
        <x:f>SUM(U145:X145)</x:f>
        <x:v>117724.65753424657</x:v>
      </x:c>
    </x:row>
    <x:row r="146">
      <x:c r="A146" t="str">
        <x:v>Short Term Contract</x:v>
      </x:c>
      <x:c r="B146" s="30" t="n">
        <x:v>750000</x:v>
      </x:c>
      <x:c r="C146" s="30" t="n">
        <x:f>Inputs!$G$5</x:f>
        <x:v>1000</x:v>
      </x:c>
      <x:c r="D146" s="20" t="n">
        <x:f>Inputs!$G$4+VLOOKUP(M146,Inputs!$A$4:$B$7,2,FALSE)</x:f>
        <x:v>0.21</x:v>
      </x:c>
      <x:c r="E146" s="30" t="n">
        <x:f>B146*D146*N146/Inputs!$G$8</x:f>
        <x:v>77671.23287671233</x:v>
      </x:c>
      <x:c r="F146" s="30" t="n">
        <x:f>B146*Inputs!$G$6</x:f>
        <x:v>22500</x:v>
      </x:c>
      <x:c r="G146" t="str">
        <x:v>60 Days</x:v>
      </x:c>
      <x:c r="H146" s="28" t="n">
        <x:v>60</x:v>
      </x:c>
      <x:c r="I146" s="52" t="n">
        <x:f>Inputs!$G$7</x:f>
        <x:v>0.02</x:v>
      </x:c>
      <x:c r="J146" s="52" t="n">
        <x:f>I146/30</x:f>
        <x:v>0.0006666666666666666</x:v>
      </x:c>
      <x:c r="K146" s="52" t="n">
        <x:f>J146*H146</x:f>
        <x:v>0.04</x:v>
      </x:c>
      <x:c r="L146" s="30" t="n">
        <x:f>(B146+E146)*K146</x:f>
        <x:v>33106.849315068495</x:v>
      </x:c>
      <x:c r="M146" s="30" t="n">
        <x:f>E146</x:f>
        <x:v>77671.23287671233</x:v>
      </x:c>
      <x:c r="N146" s="30">
        <x:f>R146-C146-F146</x:f>
      </x:c>
      <x:c r="O146" s="20" t="str">
        <x:f>IF(ABS(D146-(Inputs!$G$4+Inputs!$B$4))&lt;0.000001,"Low Risk",IF(ABS(D146-(Inputs!$G$4+Inputs!$B$5))&lt;0.000001,"Moderate Risk",IF(ABS(D146-(Inputs!$G$4+Inputs!$B$6))&lt;0.000001,"High Risk","Worst Scenario")))</x:f>
        <x:v>Worst Scenario</x:v>
      </x:c>
      <x:c r="P146" s="28" t="n">
        <x:f>IF(A146="Purchase Order Funding",Inputs!$G$13,IF(B146=500000,180,IF(B146=750000,365,1095)))</x:f>
        <x:v>365</x:v>
      </x:c>
      <x:c r="Q146" s="20" t="n">
        <x:f>D146</x:f>
        <x:v>0.21</x:v>
      </x:c>
      <x:c r="R146" s="30" t="n">
        <x:f>B146+C146+E146+F146+L146</x:f>
        <x:v>884278.0821917808</x:v>
      </x:c>
      <x:c r="S146" s="30" t="n">
        <x:f>(B146+E146)*J146</x:f>
        <x:v>551.7808219178082</x:v>
      </x:c>
      <x:c r="T146" s="30" t="n">
        <x:f>C146+E146+F146+L146</x:f>
        <x:v>134278.08219178082</x:v>
      </x:c>
      <x:c r="U146" s="30" t="n">
        <x:f>E146</x:f>
        <x:v>77671.23287671233</x:v>
      </x:c>
      <x:c r="V146" s="30" t="n">
        <x:f>C146</x:f>
        <x:v>1000</x:v>
      </x:c>
      <x:c r="W146" s="30" t="n">
        <x:f>F146</x:f>
        <x:v>22500</x:v>
      </x:c>
      <x:c r="X146" s="30" t="n">
        <x:f>L146</x:f>
        <x:v>33106.849315068495</x:v>
      </x:c>
      <x:c r="Y146" s="30" t="n">
        <x:f>SUM(U146:X146)</x:f>
        <x:v>134278.08219178082</x:v>
      </x:c>
    </x:row>
    <x:row r="147">
      <x:c r="A147" t="str">
        <x:v>Short Term Contract</x:v>
      </x:c>
      <x:c r="B147" s="30" t="n">
        <x:v>750000</x:v>
      </x:c>
      <x:c r="C147" s="30" t="n">
        <x:f>Inputs!$G$5</x:f>
        <x:v>1000</x:v>
      </x:c>
      <x:c r="D147" s="20" t="n">
        <x:f>Inputs!$G$4+VLOOKUP(M147,Inputs!$A$4:$B$7,2,FALSE)</x:f>
        <x:v>0.21</x:v>
      </x:c>
      <x:c r="E147" s="30" t="n">
        <x:f>B147*D147*N147/Inputs!$G$8</x:f>
        <x:v>77671.23287671233</x:v>
      </x:c>
      <x:c r="F147" s="30" t="n">
        <x:f>B147*Inputs!$G$6</x:f>
        <x:v>22500</x:v>
      </x:c>
      <x:c r="G147" t="str">
        <x:v>90 Days</x:v>
      </x:c>
      <x:c r="H147" s="28" t="n">
        <x:v>90</x:v>
      </x:c>
      <x:c r="I147" s="52" t="n">
        <x:f>Inputs!$G$7</x:f>
        <x:v>0.02</x:v>
      </x:c>
      <x:c r="J147" s="52" t="n">
        <x:f>I147/30</x:f>
        <x:v>0.0006666666666666666</x:v>
      </x:c>
      <x:c r="K147" s="52" t="n">
        <x:f>J147*H147</x:f>
        <x:v>0.06</x:v>
      </x:c>
      <x:c r="L147" s="30" t="n">
        <x:f>(B147+E147)*K147</x:f>
        <x:v>49660.273972602736</x:v>
      </x:c>
      <x:c r="M147" s="30" t="n">
        <x:f>E147</x:f>
        <x:v>77671.23287671233</x:v>
      </x:c>
      <x:c r="N147" s="30">
        <x:f>R147-C147-F147</x:f>
      </x:c>
      <x:c r="O147" s="20" t="str">
        <x:f>IF(ABS(D147-(Inputs!$G$4+Inputs!$B$4))&lt;0.000001,"Low Risk",IF(ABS(D147-(Inputs!$G$4+Inputs!$B$5))&lt;0.000001,"Moderate Risk",IF(ABS(D147-(Inputs!$G$4+Inputs!$B$6))&lt;0.000001,"High Risk","Worst Scenario")))</x:f>
        <x:v>Worst Scenario</x:v>
      </x:c>
      <x:c r="P147" s="28" t="n">
        <x:f>IF(A147="Purchase Order Funding",Inputs!$G$13,IF(B147=500000,180,IF(B147=750000,365,1095)))</x:f>
        <x:v>365</x:v>
      </x:c>
      <x:c r="Q147" s="20" t="n">
        <x:f>D147</x:f>
        <x:v>0.21</x:v>
      </x:c>
      <x:c r="R147" s="30" t="n">
        <x:f>B147+C147+E147+F147+L147</x:f>
        <x:v>900831.506849315</x:v>
      </x:c>
      <x:c r="S147" s="30" t="n">
        <x:f>(B147+E147)*J147</x:f>
        <x:v>551.7808219178082</x:v>
      </x:c>
      <x:c r="T147" s="30" t="n">
        <x:f>C147+E147+F147+L147</x:f>
        <x:v>150831.50684931508</x:v>
      </x:c>
      <x:c r="U147" s="30" t="n">
        <x:f>E147</x:f>
        <x:v>77671.23287671233</x:v>
      </x:c>
      <x:c r="V147" s="30" t="n">
        <x:f>C147</x:f>
        <x:v>1000</x:v>
      </x:c>
      <x:c r="W147" s="30" t="n">
        <x:f>F147</x:f>
        <x:v>22500</x:v>
      </x:c>
      <x:c r="X147" s="30" t="n">
        <x:f>L147</x:f>
        <x:v>49660.273972602736</x:v>
      </x:c>
      <x:c r="Y147" s="30" t="n">
        <x:f>SUM(U147:X147)</x:f>
        <x:v>150831.50684931508</x:v>
      </x:c>
    </x:row>
    <x:row r="148">
      <x:c r="A148" t="str">
        <x:v>Short Term Contract</x:v>
      </x:c>
      <x:c r="B148" s="30" t="n">
        <x:v>750000</x:v>
      </x:c>
      <x:c r="C148" s="30" t="n">
        <x:f>Inputs!$G$5</x:f>
        <x:v>1000</x:v>
      </x:c>
      <x:c r="D148" s="20" t="n">
        <x:f>Inputs!$G$4+VLOOKUP(M148,Inputs!$A$4:$B$7,2,FALSE)</x:f>
        <x:v>0.21</x:v>
      </x:c>
      <x:c r="E148" s="30" t="n">
        <x:f>B148*D148*N148/Inputs!$G$8</x:f>
        <x:v>77671.23287671233</x:v>
      </x:c>
      <x:c r="F148" s="30" t="n">
        <x:f>B148*Inputs!$G$6</x:f>
        <x:v>22500</x:v>
      </x:c>
      <x:c r="G148" t="str">
        <x:v>120 Days</x:v>
      </x:c>
      <x:c r="H148" s="28" t="n">
        <x:v>120</x:v>
      </x:c>
      <x:c r="I148" s="52" t="n">
        <x:f>Inputs!$G$7</x:f>
        <x:v>0.02</x:v>
      </x:c>
      <x:c r="J148" s="52" t="n">
        <x:f>I148/30</x:f>
        <x:v>0.0006666666666666666</x:v>
      </x:c>
      <x:c r="K148" s="52" t="n">
        <x:f>J148*H148</x:f>
        <x:v>0.08</x:v>
      </x:c>
      <x:c r="L148" s="30" t="n">
        <x:f>(B148+E148)*K148</x:f>
        <x:v>66213.69863013699</x:v>
      </x:c>
      <x:c r="M148" s="30" t="n">
        <x:f>E148</x:f>
        <x:v>77671.23287671233</x:v>
      </x:c>
      <x:c r="N148" s="30">
        <x:f>R148-C148-F148</x:f>
      </x:c>
      <x:c r="O148" s="20" t="str">
        <x:f>IF(ABS(D148-(Inputs!$G$4+Inputs!$B$4))&lt;0.000001,"Low Risk",IF(ABS(D148-(Inputs!$G$4+Inputs!$B$5))&lt;0.000001,"Moderate Risk",IF(ABS(D148-(Inputs!$G$4+Inputs!$B$6))&lt;0.000001,"High Risk","Worst Scenario")))</x:f>
        <x:v>Worst Scenario</x:v>
      </x:c>
      <x:c r="P148" s="28" t="n">
        <x:f>IF(A148="Purchase Order Funding",Inputs!$G$13,IF(B148=500000,180,IF(B148=750000,365,1095)))</x:f>
        <x:v>365</x:v>
      </x:c>
      <x:c r="Q148" s="20" t="n">
        <x:f>D148</x:f>
        <x:v>0.21</x:v>
      </x:c>
      <x:c r="R148" s="30" t="n">
        <x:f>B148+C148+E148+F148+L148</x:f>
        <x:v>917384.9315068494</x:v>
      </x:c>
      <x:c r="S148" s="30" t="n">
        <x:f>(B148+E148)*J148</x:f>
        <x:v>551.7808219178082</x:v>
      </x:c>
      <x:c r="T148" s="30" t="n">
        <x:f>C148+E148+F148+L148</x:f>
        <x:v>167384.9315068493</x:v>
      </x:c>
      <x:c r="U148" s="30" t="n">
        <x:f>E148</x:f>
        <x:v>77671.23287671233</x:v>
      </x:c>
      <x:c r="V148" s="30" t="n">
        <x:f>C148</x:f>
        <x:v>1000</x:v>
      </x:c>
      <x:c r="W148" s="30" t="n">
        <x:f>F148</x:f>
        <x:v>22500</x:v>
      </x:c>
      <x:c r="X148" s="30" t="n">
        <x:f>L148</x:f>
        <x:v>66213.69863013699</x:v>
      </x:c>
      <x:c r="Y148" s="30" t="n">
        <x:f>SUM(U148:X148)</x:f>
        <x:v>167384.9315068493</x:v>
      </x:c>
    </x:row>
    <x:row r="149">
      <x:c r="A149" t="str">
        <x:v>Short Term Contract</x:v>
      </x:c>
      <x:c r="B149" s="30" t="n">
        <x:v>750000</x:v>
      </x:c>
      <x:c r="C149" s="30" t="n">
        <x:f>Inputs!$G$5</x:f>
        <x:v>1000</x:v>
      </x:c>
      <x:c r="D149" s="20" t="n">
        <x:f>Inputs!$G$4+VLOOKUP(M149,Inputs!$A$4:$B$7,2,FALSE)</x:f>
        <x:v>0.155</x:v>
      </x:c>
      <x:c r="E149" s="30" t="n">
        <x:f>B149*D149*N149/Inputs!$G$8</x:f>
        <x:v>116250</x:v>
      </x:c>
      <x:c r="F149" s="30" t="n">
        <x:f>B149*Inputs!$G$6</x:f>
        <x:v>22500</x:v>
      </x:c>
      <x:c r="G149" t="str">
        <x:v>30 Days</x:v>
      </x:c>
      <x:c r="H149" s="28" t="n">
        <x:v>30</x:v>
      </x:c>
      <x:c r="I149" s="52" t="n">
        <x:f>Inputs!$G$7</x:f>
        <x:v>0.02</x:v>
      </x:c>
      <x:c r="J149" s="52" t="n">
        <x:f>I149/30</x:f>
        <x:v>0.0006666666666666666</x:v>
      </x:c>
      <x:c r="K149" s="52" t="n">
        <x:f>J149*H149</x:f>
        <x:v>0.02</x:v>
      </x:c>
      <x:c r="L149" s="30" t="n">
        <x:f>(B149+E149)*K149</x:f>
        <x:v>17325</x:v>
      </x:c>
      <x:c r="M149" s="30" t="n">
        <x:f>E149</x:f>
        <x:v>116250</x:v>
      </x:c>
      <x:c r="N149" s="30">
        <x:f>R149-C149-F149</x:f>
      </x:c>
      <x:c r="O149" s="20" t="str">
        <x:f>IF(ABS(D149-(Inputs!$G$4+Inputs!$B$4))&lt;0.000001,"Low Risk",IF(ABS(D149-(Inputs!$G$4+Inputs!$B$5))&lt;0.000001,"Moderate Risk",IF(ABS(D149-(Inputs!$G$4+Inputs!$B$6))&lt;0.000001,"High Risk","Worst Scenario")))</x:f>
        <x:v>Low Risk</x:v>
      </x:c>
      <x:c r="P149" s="28" t="n">
        <x:f>IF(A149="Purchase Order Funding",Inputs!$G$13,IF(B149=500000,180,IF(B149=750000,365,1095)))</x:f>
        <x:v>365</x:v>
      </x:c>
      <x:c r="Q149" s="20" t="n">
        <x:f>D149</x:f>
        <x:v>0.155</x:v>
      </x:c>
      <x:c r="R149" s="30" t="n">
        <x:f>B149+C149+E149+F149+L149</x:f>
        <x:v>907075</x:v>
      </x:c>
      <x:c r="S149" s="30" t="n">
        <x:f>(B149+E149)*J149</x:f>
        <x:v>577.5</x:v>
      </x:c>
      <x:c r="T149" s="30" t="n">
        <x:f>C149+E149+F149+L149</x:f>
        <x:v>157075</x:v>
      </x:c>
      <x:c r="U149" s="30" t="n">
        <x:f>E149</x:f>
        <x:v>116250</x:v>
      </x:c>
      <x:c r="V149" s="30" t="n">
        <x:f>C149</x:f>
        <x:v>1000</x:v>
      </x:c>
      <x:c r="W149" s="30" t="n">
        <x:f>F149</x:f>
        <x:v>22500</x:v>
      </x:c>
      <x:c r="X149" s="30" t="n">
        <x:f>L149</x:f>
        <x:v>17325</x:v>
      </x:c>
      <x:c r="Y149" s="30" t="n">
        <x:f>SUM(U149:X149)</x:f>
        <x:v>157075</x:v>
      </x:c>
    </x:row>
    <x:row r="150">
      <x:c r="A150" t="str">
        <x:v>Short Term Contract</x:v>
      </x:c>
      <x:c r="B150" s="30" t="n">
        <x:v>750000</x:v>
      </x:c>
      <x:c r="C150" s="30" t="n">
        <x:f>Inputs!$G$5</x:f>
        <x:v>1000</x:v>
      </x:c>
      <x:c r="D150" s="20" t="n">
        <x:f>Inputs!$G$4+VLOOKUP(M150,Inputs!$A$4:$B$7,2,FALSE)</x:f>
        <x:v>0.155</x:v>
      </x:c>
      <x:c r="E150" s="30" t="n">
        <x:f>B150*D150*N150/Inputs!$G$8</x:f>
        <x:v>116250</x:v>
      </x:c>
      <x:c r="F150" s="30" t="n">
        <x:f>B150*Inputs!$G$6</x:f>
        <x:v>22500</x:v>
      </x:c>
      <x:c r="G150" t="str">
        <x:v>60 Days</x:v>
      </x:c>
      <x:c r="H150" s="28" t="n">
        <x:v>60</x:v>
      </x:c>
      <x:c r="I150" s="52" t="n">
        <x:f>Inputs!$G$7</x:f>
        <x:v>0.02</x:v>
      </x:c>
      <x:c r="J150" s="52" t="n">
        <x:f>I150/30</x:f>
        <x:v>0.0006666666666666666</x:v>
      </x:c>
      <x:c r="K150" s="52" t="n">
        <x:f>J150*H150</x:f>
        <x:v>0.04</x:v>
      </x:c>
      <x:c r="L150" s="30" t="n">
        <x:f>(B150+E150)*K150</x:f>
        <x:v>34650</x:v>
      </x:c>
      <x:c r="M150" s="30" t="n">
        <x:f>E150</x:f>
        <x:v>116250</x:v>
      </x:c>
      <x:c r="N150" s="30">
        <x:f>R150-C150-F150</x:f>
      </x:c>
      <x:c r="O150" s="20" t="str">
        <x:f>IF(ABS(D150-(Inputs!$G$4+Inputs!$B$4))&lt;0.000001,"Low Risk",IF(ABS(D150-(Inputs!$G$4+Inputs!$B$5))&lt;0.000001,"Moderate Risk",IF(ABS(D150-(Inputs!$G$4+Inputs!$B$6))&lt;0.000001,"High Risk","Worst Scenario")))</x:f>
        <x:v>Low Risk</x:v>
      </x:c>
      <x:c r="P150" s="28" t="n">
        <x:f>IF(A150="Purchase Order Funding",Inputs!$G$13,IF(B150=500000,180,IF(B150=750000,365,1095)))</x:f>
        <x:v>365</x:v>
      </x:c>
      <x:c r="Q150" s="20" t="n">
        <x:f>D150</x:f>
        <x:v>0.155</x:v>
      </x:c>
      <x:c r="R150" s="30" t="n">
        <x:f>B150+C150+E150+F150+L150</x:f>
        <x:v>924400</x:v>
      </x:c>
      <x:c r="S150" s="30" t="n">
        <x:f>(B150+E150)*J150</x:f>
        <x:v>577.5</x:v>
      </x:c>
      <x:c r="T150" s="30" t="n">
        <x:f>C150+E150+F150+L150</x:f>
        <x:v>174400</x:v>
      </x:c>
      <x:c r="U150" s="30" t="n">
        <x:f>E150</x:f>
        <x:v>116250</x:v>
      </x:c>
      <x:c r="V150" s="30" t="n">
        <x:f>C150</x:f>
        <x:v>1000</x:v>
      </x:c>
      <x:c r="W150" s="30" t="n">
        <x:f>F150</x:f>
        <x:v>22500</x:v>
      </x:c>
      <x:c r="X150" s="30" t="n">
        <x:f>L150</x:f>
        <x:v>34650</x:v>
      </x:c>
      <x:c r="Y150" s="30" t="n">
        <x:f>SUM(U150:X150)</x:f>
        <x:v>174400</x:v>
      </x:c>
    </x:row>
    <x:row r="151">
      <x:c r="A151" t="str">
        <x:v>Short Term Contract</x:v>
      </x:c>
      <x:c r="B151" s="30" t="n">
        <x:v>750000</x:v>
      </x:c>
      <x:c r="C151" s="30" t="n">
        <x:f>Inputs!$G$5</x:f>
        <x:v>1000</x:v>
      </x:c>
      <x:c r="D151" s="20" t="n">
        <x:f>Inputs!$G$4+VLOOKUP(M151,Inputs!$A$4:$B$7,2,FALSE)</x:f>
        <x:v>0.155</x:v>
      </x:c>
      <x:c r="E151" s="30" t="n">
        <x:f>B151*D151*N151/Inputs!$G$8</x:f>
        <x:v>116250</x:v>
      </x:c>
      <x:c r="F151" s="30" t="n">
        <x:f>B151*Inputs!$G$6</x:f>
        <x:v>22500</x:v>
      </x:c>
      <x:c r="G151" t="str">
        <x:v>90 Days</x:v>
      </x:c>
      <x:c r="H151" s="28" t="n">
        <x:v>90</x:v>
      </x:c>
      <x:c r="I151" s="52" t="n">
        <x:f>Inputs!$G$7</x:f>
        <x:v>0.02</x:v>
      </x:c>
      <x:c r="J151" s="52" t="n">
        <x:f>I151/30</x:f>
        <x:v>0.0006666666666666666</x:v>
      </x:c>
      <x:c r="K151" s="52" t="n">
        <x:f>J151*H151</x:f>
        <x:v>0.06</x:v>
      </x:c>
      <x:c r="L151" s="30" t="n">
        <x:f>(B151+E151)*K151</x:f>
        <x:v>51975</x:v>
      </x:c>
      <x:c r="M151" s="30" t="n">
        <x:f>E151</x:f>
        <x:v>116250</x:v>
      </x:c>
      <x:c r="N151" s="30">
        <x:f>R151-C151-F151</x:f>
      </x:c>
      <x:c r="O151" s="20" t="str">
        <x:f>IF(ABS(D151-(Inputs!$G$4+Inputs!$B$4))&lt;0.000001,"Low Risk",IF(ABS(D151-(Inputs!$G$4+Inputs!$B$5))&lt;0.000001,"Moderate Risk",IF(ABS(D151-(Inputs!$G$4+Inputs!$B$6))&lt;0.000001,"High Risk","Worst Scenario")))</x:f>
        <x:v>Low Risk</x:v>
      </x:c>
      <x:c r="P151" s="28" t="n">
        <x:f>IF(A151="Purchase Order Funding",Inputs!$G$13,IF(B151=500000,180,IF(B151=750000,365,1095)))</x:f>
        <x:v>365</x:v>
      </x:c>
      <x:c r="Q151" s="20" t="n">
        <x:f>D151</x:f>
        <x:v>0.155</x:v>
      </x:c>
      <x:c r="R151" s="30" t="n">
        <x:f>B151+C151+E151+F151+L151</x:f>
        <x:v>941725</x:v>
      </x:c>
      <x:c r="S151" s="30" t="n">
        <x:f>(B151+E151)*J151</x:f>
        <x:v>577.5</x:v>
      </x:c>
      <x:c r="T151" s="30" t="n">
        <x:f>C151+E151+F151+L151</x:f>
        <x:v>191725</x:v>
      </x:c>
      <x:c r="U151" s="30" t="n">
        <x:f>E151</x:f>
        <x:v>116250</x:v>
      </x:c>
      <x:c r="V151" s="30" t="n">
        <x:f>C151</x:f>
        <x:v>1000</x:v>
      </x:c>
      <x:c r="W151" s="30" t="n">
        <x:f>F151</x:f>
        <x:v>22500</x:v>
      </x:c>
      <x:c r="X151" s="30" t="n">
        <x:f>L151</x:f>
        <x:v>51975</x:v>
      </x:c>
      <x:c r="Y151" s="30" t="n">
        <x:f>SUM(U151:X151)</x:f>
        <x:v>191725</x:v>
      </x:c>
    </x:row>
    <x:row r="152">
      <x:c r="A152" t="str">
        <x:v>Short Term Contract</x:v>
      </x:c>
      <x:c r="B152" s="30" t="n">
        <x:v>750000</x:v>
      </x:c>
      <x:c r="C152" s="30" t="n">
        <x:f>Inputs!$G$5</x:f>
        <x:v>1000</x:v>
      </x:c>
      <x:c r="D152" s="20" t="n">
        <x:f>Inputs!$G$4+VLOOKUP(M152,Inputs!$A$4:$B$7,2,FALSE)</x:f>
        <x:v>0.155</x:v>
      </x:c>
      <x:c r="E152" s="30" t="n">
        <x:f>B152*D152*N152/Inputs!$G$8</x:f>
        <x:v>116250</x:v>
      </x:c>
      <x:c r="F152" s="30" t="n">
        <x:f>B152*Inputs!$G$6</x:f>
        <x:v>22500</x:v>
      </x:c>
      <x:c r="G152" t="str">
        <x:v>120 Days</x:v>
      </x:c>
      <x:c r="H152" s="28" t="n">
        <x:v>120</x:v>
      </x:c>
      <x:c r="I152" s="52" t="n">
        <x:f>Inputs!$G$7</x:f>
        <x:v>0.02</x:v>
      </x:c>
      <x:c r="J152" s="52" t="n">
        <x:f>I152/30</x:f>
        <x:v>0.0006666666666666666</x:v>
      </x:c>
      <x:c r="K152" s="52" t="n">
        <x:f>J152*H152</x:f>
        <x:v>0.08</x:v>
      </x:c>
      <x:c r="L152" s="30" t="n">
        <x:f>(B152+E152)*K152</x:f>
        <x:v>69300</x:v>
      </x:c>
      <x:c r="M152" s="30" t="n">
        <x:f>E152</x:f>
        <x:v>116250</x:v>
      </x:c>
      <x:c r="N152" s="30">
        <x:f>R152-C152-F152</x:f>
      </x:c>
      <x:c r="O152" s="20" t="str">
        <x:f>IF(ABS(D152-(Inputs!$G$4+Inputs!$B$4))&lt;0.000001,"Low Risk",IF(ABS(D152-(Inputs!$G$4+Inputs!$B$5))&lt;0.000001,"Moderate Risk",IF(ABS(D152-(Inputs!$G$4+Inputs!$B$6))&lt;0.000001,"High Risk","Worst Scenario")))</x:f>
        <x:v>Low Risk</x:v>
      </x:c>
      <x:c r="P152" s="28" t="n">
        <x:f>IF(A152="Purchase Order Funding",Inputs!$G$13,IF(B152=500000,180,IF(B152=750000,365,1095)))</x:f>
        <x:v>365</x:v>
      </x:c>
      <x:c r="Q152" s="20" t="n">
        <x:f>D152</x:f>
        <x:v>0.155</x:v>
      </x:c>
      <x:c r="R152" s="30" t="n">
        <x:f>B152+C152+E152+F152+L152</x:f>
        <x:v>959050</x:v>
      </x:c>
      <x:c r="S152" s="30" t="n">
        <x:f>(B152+E152)*J152</x:f>
        <x:v>577.5</x:v>
      </x:c>
      <x:c r="T152" s="30" t="n">
        <x:f>C152+E152+F152+L152</x:f>
        <x:v>209050</x:v>
      </x:c>
      <x:c r="U152" s="30" t="n">
        <x:f>E152</x:f>
        <x:v>116250</x:v>
      </x:c>
      <x:c r="V152" s="30" t="n">
        <x:f>C152</x:f>
        <x:v>1000</x:v>
      </x:c>
      <x:c r="W152" s="30" t="n">
        <x:f>F152</x:f>
        <x:v>22500</x:v>
      </x:c>
      <x:c r="X152" s="30" t="n">
        <x:f>L152</x:f>
        <x:v>69300</x:v>
      </x:c>
      <x:c r="Y152" s="30" t="n">
        <x:f>SUM(U152:X152)</x:f>
        <x:v>209050</x:v>
      </x:c>
    </x:row>
    <x:row r="153">
      <x:c r="A153" t="str">
        <x:v>Short Term Contract</x:v>
      </x:c>
      <x:c r="B153" s="30" t="n">
        <x:v>750000</x:v>
      </x:c>
      <x:c r="C153" s="30" t="n">
        <x:f>Inputs!$G$5</x:f>
        <x:v>1000</x:v>
      </x:c>
      <x:c r="D153" s="20" t="n">
        <x:f>Inputs!$G$4+VLOOKUP(M153,Inputs!$A$4:$B$7,2,FALSE)</x:f>
        <x:v>0.16999999999999998</x:v>
      </x:c>
      <x:c r="E153" s="30" t="n">
        <x:f>B153*D153*N153/Inputs!$G$8</x:f>
        <x:v>127499.99999999999</x:v>
      </x:c>
      <x:c r="F153" s="30" t="n">
        <x:f>B153*Inputs!$G$6</x:f>
        <x:v>22500</x:v>
      </x:c>
      <x:c r="G153" t="str">
        <x:v>30 Days</x:v>
      </x:c>
      <x:c r="H153" s="28" t="n">
        <x:v>30</x:v>
      </x:c>
      <x:c r="I153" s="52" t="n">
        <x:f>Inputs!$G$7</x:f>
        <x:v>0.02</x:v>
      </x:c>
      <x:c r="J153" s="52" t="n">
        <x:f>I153/30</x:f>
        <x:v>0.0006666666666666666</x:v>
      </x:c>
      <x:c r="K153" s="52" t="n">
        <x:f>J153*H153</x:f>
        <x:v>0.02</x:v>
      </x:c>
      <x:c r="L153" s="30" t="n">
        <x:f>(B153+E153)*K153</x:f>
        <x:v>17550</x:v>
      </x:c>
      <x:c r="M153" s="30" t="n">
        <x:f>E153</x:f>
        <x:v>127499.99999999999</x:v>
      </x:c>
      <x:c r="N153" s="30">
        <x:f>R153-C153-F153</x:f>
      </x:c>
      <x:c r="O153" s="20" t="str">
        <x:f>IF(ABS(D153-(Inputs!$G$4+Inputs!$B$4))&lt;0.000001,"Low Risk",IF(ABS(D153-(Inputs!$G$4+Inputs!$B$5))&lt;0.000001,"Moderate Risk",IF(ABS(D153-(Inputs!$G$4+Inputs!$B$6))&lt;0.000001,"High Risk","Worst Scenario")))</x:f>
        <x:v>Moderate Risk</x:v>
      </x:c>
      <x:c r="P153" s="28" t="n">
        <x:f>IF(A153="Purchase Order Funding",Inputs!$G$13,IF(B153=500000,180,IF(B153=750000,365,1095)))</x:f>
        <x:v>365</x:v>
      </x:c>
      <x:c r="Q153" s="20" t="n">
        <x:f>D153</x:f>
        <x:v>0.16999999999999998</x:v>
      </x:c>
      <x:c r="R153" s="30" t="n">
        <x:f>B153+C153+E153+F153+L153</x:f>
        <x:v>918550</x:v>
      </x:c>
      <x:c r="S153" s="30" t="n">
        <x:f>(B153+E153)*J153</x:f>
        <x:v>585</x:v>
      </x:c>
      <x:c r="T153" s="30" t="n">
        <x:f>C153+E153+F153+L153</x:f>
        <x:v>168550</x:v>
      </x:c>
      <x:c r="U153" s="30" t="n">
        <x:f>E153</x:f>
        <x:v>127499.99999999999</x:v>
      </x:c>
      <x:c r="V153" s="30" t="n">
        <x:f>C153</x:f>
        <x:v>1000</x:v>
      </x:c>
      <x:c r="W153" s="30" t="n">
        <x:f>F153</x:f>
        <x:v>22500</x:v>
      </x:c>
      <x:c r="X153" s="30" t="n">
        <x:f>L153</x:f>
        <x:v>17550</x:v>
      </x:c>
      <x:c r="Y153" s="30" t="n">
        <x:f>SUM(U153:X153)</x:f>
        <x:v>168550</x:v>
      </x:c>
    </x:row>
    <x:row r="154">
      <x:c r="A154" t="str">
        <x:v>Short Term Contract</x:v>
      </x:c>
      <x:c r="B154" s="30" t="n">
        <x:v>750000</x:v>
      </x:c>
      <x:c r="C154" s="30" t="n">
        <x:f>Inputs!$G$5</x:f>
        <x:v>1000</x:v>
      </x:c>
      <x:c r="D154" s="20" t="n">
        <x:f>Inputs!$G$4+VLOOKUP(M154,Inputs!$A$4:$B$7,2,FALSE)</x:f>
        <x:v>0.16999999999999998</x:v>
      </x:c>
      <x:c r="E154" s="30" t="n">
        <x:f>B154*D154*N154/Inputs!$G$8</x:f>
        <x:v>127499.99999999999</x:v>
      </x:c>
      <x:c r="F154" s="30" t="n">
        <x:f>B154*Inputs!$G$6</x:f>
        <x:v>22500</x:v>
      </x:c>
      <x:c r="G154" t="str">
        <x:v>60 Days</x:v>
      </x:c>
      <x:c r="H154" s="28" t="n">
        <x:v>60</x:v>
      </x:c>
      <x:c r="I154" s="52" t="n">
        <x:f>Inputs!$G$7</x:f>
        <x:v>0.02</x:v>
      </x:c>
      <x:c r="J154" s="52" t="n">
        <x:f>I154/30</x:f>
        <x:v>0.0006666666666666666</x:v>
      </x:c>
      <x:c r="K154" s="52" t="n">
        <x:f>J154*H154</x:f>
        <x:v>0.04</x:v>
      </x:c>
      <x:c r="L154" s="30" t="n">
        <x:f>(B154+E154)*K154</x:f>
        <x:v>35100</x:v>
      </x:c>
      <x:c r="M154" s="30" t="n">
        <x:f>E154</x:f>
        <x:v>127499.99999999999</x:v>
      </x:c>
      <x:c r="N154" s="30">
        <x:f>R154-C154-F154</x:f>
      </x:c>
      <x:c r="O154" s="20" t="str">
        <x:f>IF(ABS(D154-(Inputs!$G$4+Inputs!$B$4))&lt;0.000001,"Low Risk",IF(ABS(D154-(Inputs!$G$4+Inputs!$B$5))&lt;0.000001,"Moderate Risk",IF(ABS(D154-(Inputs!$G$4+Inputs!$B$6))&lt;0.000001,"High Risk","Worst Scenario")))</x:f>
        <x:v>Moderate Risk</x:v>
      </x:c>
      <x:c r="P154" s="28" t="n">
        <x:f>IF(A154="Purchase Order Funding",Inputs!$G$13,IF(B154=500000,180,IF(B154=750000,365,1095)))</x:f>
        <x:v>365</x:v>
      </x:c>
      <x:c r="Q154" s="20" t="n">
        <x:f>D154</x:f>
        <x:v>0.16999999999999998</x:v>
      </x:c>
      <x:c r="R154" s="30" t="n">
        <x:f>B154+C154+E154+F154+L154</x:f>
        <x:v>936100</x:v>
      </x:c>
      <x:c r="S154" s="30" t="n">
        <x:f>(B154+E154)*J154</x:f>
        <x:v>585</x:v>
      </x:c>
      <x:c r="T154" s="30" t="n">
        <x:f>C154+E154+F154+L154</x:f>
        <x:v>186100</x:v>
      </x:c>
      <x:c r="U154" s="30" t="n">
        <x:f>E154</x:f>
        <x:v>127499.99999999999</x:v>
      </x:c>
      <x:c r="V154" s="30" t="n">
        <x:f>C154</x:f>
        <x:v>1000</x:v>
      </x:c>
      <x:c r="W154" s="30" t="n">
        <x:f>F154</x:f>
        <x:v>22500</x:v>
      </x:c>
      <x:c r="X154" s="30" t="n">
        <x:f>L154</x:f>
        <x:v>35100</x:v>
      </x:c>
      <x:c r="Y154" s="30" t="n">
        <x:f>SUM(U154:X154)</x:f>
        <x:v>186100</x:v>
      </x:c>
    </x:row>
    <x:row r="155">
      <x:c r="A155" t="str">
        <x:v>Short Term Contract</x:v>
      </x:c>
      <x:c r="B155" s="30" t="n">
        <x:v>750000</x:v>
      </x:c>
      <x:c r="C155" s="30" t="n">
        <x:f>Inputs!$G$5</x:f>
        <x:v>1000</x:v>
      </x:c>
      <x:c r="D155" s="20" t="n">
        <x:f>Inputs!$G$4+VLOOKUP(M155,Inputs!$A$4:$B$7,2,FALSE)</x:f>
        <x:v>0.16999999999999998</x:v>
      </x:c>
      <x:c r="E155" s="30" t="n">
        <x:f>B155*D155*N155/Inputs!$G$8</x:f>
        <x:v>127499.99999999999</x:v>
      </x:c>
      <x:c r="F155" s="30" t="n">
        <x:f>B155*Inputs!$G$6</x:f>
        <x:v>22500</x:v>
      </x:c>
      <x:c r="G155" t="str">
        <x:v>90 Days</x:v>
      </x:c>
      <x:c r="H155" s="28" t="n">
        <x:v>90</x:v>
      </x:c>
      <x:c r="I155" s="52" t="n">
        <x:f>Inputs!$G$7</x:f>
        <x:v>0.02</x:v>
      </x:c>
      <x:c r="J155" s="52" t="n">
        <x:f>I155/30</x:f>
        <x:v>0.0006666666666666666</x:v>
      </x:c>
      <x:c r="K155" s="52" t="n">
        <x:f>J155*H155</x:f>
        <x:v>0.06</x:v>
      </x:c>
      <x:c r="L155" s="30" t="n">
        <x:f>(B155+E155)*K155</x:f>
        <x:v>52650</x:v>
      </x:c>
      <x:c r="M155" s="30" t="n">
        <x:f>E155</x:f>
        <x:v>127499.99999999999</x:v>
      </x:c>
      <x:c r="N155" s="30">
        <x:f>R155-C155-F155</x:f>
      </x:c>
      <x:c r="O155" s="20" t="str">
        <x:f>IF(ABS(D155-(Inputs!$G$4+Inputs!$B$4))&lt;0.000001,"Low Risk",IF(ABS(D155-(Inputs!$G$4+Inputs!$B$5))&lt;0.000001,"Moderate Risk",IF(ABS(D155-(Inputs!$G$4+Inputs!$B$6))&lt;0.000001,"High Risk","Worst Scenario")))</x:f>
        <x:v>Moderate Risk</x:v>
      </x:c>
      <x:c r="P155" s="28" t="n">
        <x:f>IF(A155="Purchase Order Funding",Inputs!$G$13,IF(B155=500000,180,IF(B155=750000,365,1095)))</x:f>
        <x:v>365</x:v>
      </x:c>
      <x:c r="Q155" s="20" t="n">
        <x:f>D155</x:f>
        <x:v>0.16999999999999998</x:v>
      </x:c>
      <x:c r="R155" s="30" t="n">
        <x:f>B155+C155+E155+F155+L155</x:f>
        <x:v>953650</x:v>
      </x:c>
      <x:c r="S155" s="30" t="n">
        <x:f>(B155+E155)*J155</x:f>
        <x:v>585</x:v>
      </x:c>
      <x:c r="T155" s="30" t="n">
        <x:f>C155+E155+F155+L155</x:f>
        <x:v>203650</x:v>
      </x:c>
      <x:c r="U155" s="30" t="n">
        <x:f>E155</x:f>
        <x:v>127499.99999999999</x:v>
      </x:c>
      <x:c r="V155" s="30" t="n">
        <x:f>C155</x:f>
        <x:v>1000</x:v>
      </x:c>
      <x:c r="W155" s="30" t="n">
        <x:f>F155</x:f>
        <x:v>22500</x:v>
      </x:c>
      <x:c r="X155" s="30" t="n">
        <x:f>L155</x:f>
        <x:v>52650</x:v>
      </x:c>
      <x:c r="Y155" s="30" t="n">
        <x:f>SUM(U155:X155)</x:f>
        <x:v>203650</x:v>
      </x:c>
    </x:row>
    <x:row r="156">
      <x:c r="A156" t="str">
        <x:v>Short Term Contract</x:v>
      </x:c>
      <x:c r="B156" s="30" t="n">
        <x:v>750000</x:v>
      </x:c>
      <x:c r="C156" s="30" t="n">
        <x:f>Inputs!$G$5</x:f>
        <x:v>1000</x:v>
      </x:c>
      <x:c r="D156" s="20" t="n">
        <x:f>Inputs!$G$4+VLOOKUP(M156,Inputs!$A$4:$B$7,2,FALSE)</x:f>
        <x:v>0.16999999999999998</x:v>
      </x:c>
      <x:c r="E156" s="30" t="n">
        <x:f>B156*D156*N156/Inputs!$G$8</x:f>
        <x:v>127499.99999999999</x:v>
      </x:c>
      <x:c r="F156" s="30" t="n">
        <x:f>B156*Inputs!$G$6</x:f>
        <x:v>22500</x:v>
      </x:c>
      <x:c r="G156" t="str">
        <x:v>120 Days</x:v>
      </x:c>
      <x:c r="H156" s="28" t="n">
        <x:v>120</x:v>
      </x:c>
      <x:c r="I156" s="52" t="n">
        <x:f>Inputs!$G$7</x:f>
        <x:v>0.02</x:v>
      </x:c>
      <x:c r="J156" s="52" t="n">
        <x:f>I156/30</x:f>
        <x:v>0.0006666666666666666</x:v>
      </x:c>
      <x:c r="K156" s="52" t="n">
        <x:f>J156*H156</x:f>
        <x:v>0.08</x:v>
      </x:c>
      <x:c r="L156" s="30" t="n">
        <x:f>(B156+E156)*K156</x:f>
        <x:v>70200</x:v>
      </x:c>
      <x:c r="M156" s="30" t="n">
        <x:f>E156</x:f>
        <x:v>127499.99999999999</x:v>
      </x:c>
      <x:c r="N156" s="30">
        <x:f>R156-C156-F156</x:f>
      </x:c>
      <x:c r="O156" s="20" t="str">
        <x:f>IF(ABS(D156-(Inputs!$G$4+Inputs!$B$4))&lt;0.000001,"Low Risk",IF(ABS(D156-(Inputs!$G$4+Inputs!$B$5))&lt;0.000001,"Moderate Risk",IF(ABS(D156-(Inputs!$G$4+Inputs!$B$6))&lt;0.000001,"High Risk","Worst Scenario")))</x:f>
        <x:v>Moderate Risk</x:v>
      </x:c>
      <x:c r="P156" s="28" t="n">
        <x:f>IF(A156="Purchase Order Funding",Inputs!$G$13,IF(B156=500000,180,IF(B156=750000,365,1095)))</x:f>
        <x:v>365</x:v>
      </x:c>
      <x:c r="Q156" s="20" t="n">
        <x:f>D156</x:f>
        <x:v>0.16999999999999998</x:v>
      </x:c>
      <x:c r="R156" s="30" t="n">
        <x:f>B156+C156+E156+F156+L156</x:f>
        <x:v>971200</x:v>
      </x:c>
      <x:c r="S156" s="30" t="n">
        <x:f>(B156+E156)*J156</x:f>
        <x:v>585</x:v>
      </x:c>
      <x:c r="T156" s="30" t="n">
        <x:f>C156+E156+F156+L156</x:f>
        <x:v>221200</x:v>
      </x:c>
      <x:c r="U156" s="30" t="n">
        <x:f>E156</x:f>
        <x:v>127499.99999999999</x:v>
      </x:c>
      <x:c r="V156" s="30" t="n">
        <x:f>C156</x:f>
        <x:v>1000</x:v>
      </x:c>
      <x:c r="W156" s="30" t="n">
        <x:f>F156</x:f>
        <x:v>22500</x:v>
      </x:c>
      <x:c r="X156" s="30" t="n">
        <x:f>L156</x:f>
        <x:v>70200</x:v>
      </x:c>
      <x:c r="Y156" s="30" t="n">
        <x:f>SUM(U156:X156)</x:f>
        <x:v>221200</x:v>
      </x:c>
    </x:row>
    <x:row r="157">
      <x:c r="A157" t="str">
        <x:v>Short Term Contract</x:v>
      </x:c>
      <x:c r="B157" s="30" t="n">
        <x:v>750000</x:v>
      </x:c>
      <x:c r="C157" s="30" t="n">
        <x:f>Inputs!$G$5</x:f>
        <x:v>1000</x:v>
      </x:c>
      <x:c r="D157" s="20" t="n">
        <x:f>Inputs!$G$4+VLOOKUP(M157,Inputs!$A$4:$B$7,2,FALSE)</x:f>
        <x:v>0.19</x:v>
      </x:c>
      <x:c r="E157" s="30" t="n">
        <x:f>B157*D157*N157/Inputs!$G$8</x:f>
        <x:v>142500</x:v>
      </x:c>
      <x:c r="F157" s="30" t="n">
        <x:f>B157*Inputs!$G$6</x:f>
        <x:v>22500</x:v>
      </x:c>
      <x:c r="G157" t="str">
        <x:v>30 Days</x:v>
      </x:c>
      <x:c r="H157" s="28" t="n">
        <x:v>30</x:v>
      </x:c>
      <x:c r="I157" s="52" t="n">
        <x:f>Inputs!$G$7</x:f>
        <x:v>0.02</x:v>
      </x:c>
      <x:c r="J157" s="52" t="n">
        <x:f>I157/30</x:f>
        <x:v>0.0006666666666666666</x:v>
      </x:c>
      <x:c r="K157" s="52" t="n">
        <x:f>J157*H157</x:f>
        <x:v>0.02</x:v>
      </x:c>
      <x:c r="L157" s="30" t="n">
        <x:f>(B157+E157)*K157</x:f>
        <x:v>17850</x:v>
      </x:c>
      <x:c r="M157" s="30" t="n">
        <x:f>E157</x:f>
        <x:v>142500</x:v>
      </x:c>
      <x:c r="N157" s="30">
        <x:f>R157-C157-F157</x:f>
      </x:c>
      <x:c r="O157" s="20" t="str">
        <x:f>IF(ABS(D157-(Inputs!$G$4+Inputs!$B$4))&lt;0.000001,"Low Risk",IF(ABS(D157-(Inputs!$G$4+Inputs!$B$5))&lt;0.000001,"Moderate Risk",IF(ABS(D157-(Inputs!$G$4+Inputs!$B$6))&lt;0.000001,"High Risk","Worst Scenario")))</x:f>
        <x:v>High Risk</x:v>
      </x:c>
      <x:c r="P157" s="28" t="n">
        <x:f>IF(A157="Purchase Order Funding",Inputs!$G$13,IF(B157=500000,180,IF(B157=750000,365,1095)))</x:f>
        <x:v>365</x:v>
      </x:c>
      <x:c r="Q157" s="20" t="n">
        <x:f>D157</x:f>
        <x:v>0.19</x:v>
      </x:c>
      <x:c r="R157" s="30" t="n">
        <x:f>B157+C157+E157+F157+L157</x:f>
        <x:v>933850</x:v>
      </x:c>
      <x:c r="S157" s="30" t="n">
        <x:f>(B157+E157)*J157</x:f>
        <x:v>595</x:v>
      </x:c>
      <x:c r="T157" s="30" t="n">
        <x:f>C157+E157+F157+L157</x:f>
        <x:v>183850</x:v>
      </x:c>
      <x:c r="U157" s="30" t="n">
        <x:f>E157</x:f>
        <x:v>142500</x:v>
      </x:c>
      <x:c r="V157" s="30" t="n">
        <x:f>C157</x:f>
        <x:v>1000</x:v>
      </x:c>
      <x:c r="W157" s="30" t="n">
        <x:f>F157</x:f>
        <x:v>22500</x:v>
      </x:c>
      <x:c r="X157" s="30" t="n">
        <x:f>L157</x:f>
        <x:v>17850</x:v>
      </x:c>
      <x:c r="Y157" s="30" t="n">
        <x:f>SUM(U157:X157)</x:f>
        <x:v>183850</x:v>
      </x:c>
    </x:row>
    <x:row r="158">
      <x:c r="A158" t="str">
        <x:v>Short Term Contract</x:v>
      </x:c>
      <x:c r="B158" s="30" t="n">
        <x:v>750000</x:v>
      </x:c>
      <x:c r="C158" s="30" t="n">
        <x:f>Inputs!$G$5</x:f>
        <x:v>1000</x:v>
      </x:c>
      <x:c r="D158" s="20" t="n">
        <x:f>Inputs!$G$4+VLOOKUP(M158,Inputs!$A$4:$B$7,2,FALSE)</x:f>
        <x:v>0.19</x:v>
      </x:c>
      <x:c r="E158" s="30" t="n">
        <x:f>B158*D158*N158/Inputs!$G$8</x:f>
        <x:v>142500</x:v>
      </x:c>
      <x:c r="F158" s="30" t="n">
        <x:f>B158*Inputs!$G$6</x:f>
        <x:v>22500</x:v>
      </x:c>
      <x:c r="G158" t="str">
        <x:v>60 Days</x:v>
      </x:c>
      <x:c r="H158" s="28" t="n">
        <x:v>60</x:v>
      </x:c>
      <x:c r="I158" s="52" t="n">
        <x:f>Inputs!$G$7</x:f>
        <x:v>0.02</x:v>
      </x:c>
      <x:c r="J158" s="52" t="n">
        <x:f>I158/30</x:f>
        <x:v>0.0006666666666666666</x:v>
      </x:c>
      <x:c r="K158" s="52" t="n">
        <x:f>J158*H158</x:f>
        <x:v>0.04</x:v>
      </x:c>
      <x:c r="L158" s="30" t="n">
        <x:f>(B158+E158)*K158</x:f>
        <x:v>35700</x:v>
      </x:c>
      <x:c r="M158" s="30" t="n">
        <x:f>E158</x:f>
        <x:v>142500</x:v>
      </x:c>
      <x:c r="N158" s="30">
        <x:f>R158-C158-F158</x:f>
      </x:c>
      <x:c r="O158" s="20" t="str">
        <x:f>IF(ABS(D158-(Inputs!$G$4+Inputs!$B$4))&lt;0.000001,"Low Risk",IF(ABS(D158-(Inputs!$G$4+Inputs!$B$5))&lt;0.000001,"Moderate Risk",IF(ABS(D158-(Inputs!$G$4+Inputs!$B$6))&lt;0.000001,"High Risk","Worst Scenario")))</x:f>
        <x:v>High Risk</x:v>
      </x:c>
      <x:c r="P158" s="28" t="n">
        <x:f>IF(A158="Purchase Order Funding",Inputs!$G$13,IF(B158=500000,180,IF(B158=750000,365,1095)))</x:f>
        <x:v>365</x:v>
      </x:c>
      <x:c r="Q158" s="20" t="n">
        <x:f>D158</x:f>
        <x:v>0.19</x:v>
      </x:c>
      <x:c r="R158" s="30" t="n">
        <x:f>B158+C158+E158+F158+L158</x:f>
        <x:v>951700</x:v>
      </x:c>
      <x:c r="S158" s="30" t="n">
        <x:f>(B158+E158)*J158</x:f>
        <x:v>595</x:v>
      </x:c>
      <x:c r="T158" s="30" t="n">
        <x:f>C158+E158+F158+L158</x:f>
        <x:v>201700</x:v>
      </x:c>
      <x:c r="U158" s="30" t="n">
        <x:f>E158</x:f>
        <x:v>142500</x:v>
      </x:c>
      <x:c r="V158" s="30" t="n">
        <x:f>C158</x:f>
        <x:v>1000</x:v>
      </x:c>
      <x:c r="W158" s="30" t="n">
        <x:f>F158</x:f>
        <x:v>22500</x:v>
      </x:c>
      <x:c r="X158" s="30" t="n">
        <x:f>L158</x:f>
        <x:v>35700</x:v>
      </x:c>
      <x:c r="Y158" s="30" t="n">
        <x:f>SUM(U158:X158)</x:f>
        <x:v>201700</x:v>
      </x:c>
    </x:row>
    <x:row r="159">
      <x:c r="A159" t="str">
        <x:v>Short Term Contract</x:v>
      </x:c>
      <x:c r="B159" s="30" t="n">
        <x:v>750000</x:v>
      </x:c>
      <x:c r="C159" s="30" t="n">
        <x:f>Inputs!$G$5</x:f>
        <x:v>1000</x:v>
      </x:c>
      <x:c r="D159" s="20" t="n">
        <x:f>Inputs!$G$4+VLOOKUP(M159,Inputs!$A$4:$B$7,2,FALSE)</x:f>
        <x:v>0.19</x:v>
      </x:c>
      <x:c r="E159" s="30" t="n">
        <x:f>B159*D159*N159/Inputs!$G$8</x:f>
        <x:v>142500</x:v>
      </x:c>
      <x:c r="F159" s="30" t="n">
        <x:f>B159*Inputs!$G$6</x:f>
        <x:v>22500</x:v>
      </x:c>
      <x:c r="G159" t="str">
        <x:v>90 Days</x:v>
      </x:c>
      <x:c r="H159" s="28" t="n">
        <x:v>90</x:v>
      </x:c>
      <x:c r="I159" s="52" t="n">
        <x:f>Inputs!$G$7</x:f>
        <x:v>0.02</x:v>
      </x:c>
      <x:c r="J159" s="52" t="n">
        <x:f>I159/30</x:f>
        <x:v>0.0006666666666666666</x:v>
      </x:c>
      <x:c r="K159" s="52" t="n">
        <x:f>J159*H159</x:f>
        <x:v>0.06</x:v>
      </x:c>
      <x:c r="L159" s="30" t="n">
        <x:f>(B159+E159)*K159</x:f>
        <x:v>53550</x:v>
      </x:c>
      <x:c r="M159" s="30" t="n">
        <x:f>E159</x:f>
        <x:v>142500</x:v>
      </x:c>
      <x:c r="N159" s="30">
        <x:f>R159-C159-F159</x:f>
      </x:c>
      <x:c r="O159" s="20" t="str">
        <x:f>IF(ABS(D159-(Inputs!$G$4+Inputs!$B$4))&lt;0.000001,"Low Risk",IF(ABS(D159-(Inputs!$G$4+Inputs!$B$5))&lt;0.000001,"Moderate Risk",IF(ABS(D159-(Inputs!$G$4+Inputs!$B$6))&lt;0.000001,"High Risk","Worst Scenario")))</x:f>
        <x:v>High Risk</x:v>
      </x:c>
      <x:c r="P159" s="28" t="n">
        <x:f>IF(A159="Purchase Order Funding",Inputs!$G$13,IF(B159=500000,180,IF(B159=750000,365,1095)))</x:f>
        <x:v>365</x:v>
      </x:c>
      <x:c r="Q159" s="20" t="n">
        <x:f>D159</x:f>
        <x:v>0.19</x:v>
      </x:c>
      <x:c r="R159" s="30" t="n">
        <x:f>B159+C159+E159+F159+L159</x:f>
        <x:v>969550</x:v>
      </x:c>
      <x:c r="S159" s="30" t="n">
        <x:f>(B159+E159)*J159</x:f>
        <x:v>595</x:v>
      </x:c>
      <x:c r="T159" s="30" t="n">
        <x:f>C159+E159+F159+L159</x:f>
        <x:v>219550</x:v>
      </x:c>
      <x:c r="U159" s="30" t="n">
        <x:f>E159</x:f>
        <x:v>142500</x:v>
      </x:c>
      <x:c r="V159" s="30" t="n">
        <x:f>C159</x:f>
        <x:v>1000</x:v>
      </x:c>
      <x:c r="W159" s="30" t="n">
        <x:f>F159</x:f>
        <x:v>22500</x:v>
      </x:c>
      <x:c r="X159" s="30" t="n">
        <x:f>L159</x:f>
        <x:v>53550</x:v>
      </x:c>
      <x:c r="Y159" s="30" t="n">
        <x:f>SUM(U159:X159)</x:f>
        <x:v>219550</x:v>
      </x:c>
    </x:row>
    <x:row r="160">
      <x:c r="A160" t="str">
        <x:v>Short Term Contract</x:v>
      </x:c>
      <x:c r="B160" s="30" t="n">
        <x:v>750000</x:v>
      </x:c>
      <x:c r="C160" s="30" t="n">
        <x:f>Inputs!$G$5</x:f>
        <x:v>1000</x:v>
      </x:c>
      <x:c r="D160" s="20" t="n">
        <x:f>Inputs!$G$4+VLOOKUP(M160,Inputs!$A$4:$B$7,2,FALSE)</x:f>
        <x:v>0.19</x:v>
      </x:c>
      <x:c r="E160" s="30" t="n">
        <x:f>B160*D160*N160/Inputs!$G$8</x:f>
        <x:v>142500</x:v>
      </x:c>
      <x:c r="F160" s="30" t="n">
        <x:f>B160*Inputs!$G$6</x:f>
        <x:v>22500</x:v>
      </x:c>
      <x:c r="G160" t="str">
        <x:v>120 Days</x:v>
      </x:c>
      <x:c r="H160" s="28" t="n">
        <x:v>120</x:v>
      </x:c>
      <x:c r="I160" s="52" t="n">
        <x:f>Inputs!$G$7</x:f>
        <x:v>0.02</x:v>
      </x:c>
      <x:c r="J160" s="52" t="n">
        <x:f>I160/30</x:f>
        <x:v>0.0006666666666666666</x:v>
      </x:c>
      <x:c r="K160" s="52" t="n">
        <x:f>J160*H160</x:f>
        <x:v>0.08</x:v>
      </x:c>
      <x:c r="L160" s="30" t="n">
        <x:f>(B160+E160)*K160</x:f>
        <x:v>71400</x:v>
      </x:c>
      <x:c r="M160" s="30" t="n">
        <x:f>E160</x:f>
        <x:v>142500</x:v>
      </x:c>
      <x:c r="N160" s="30">
        <x:f>R160-C160-F160</x:f>
      </x:c>
      <x:c r="O160" s="20" t="str">
        <x:f>IF(ABS(D160-(Inputs!$G$4+Inputs!$B$4))&lt;0.000001,"Low Risk",IF(ABS(D160-(Inputs!$G$4+Inputs!$B$5))&lt;0.000001,"Moderate Risk",IF(ABS(D160-(Inputs!$G$4+Inputs!$B$6))&lt;0.000001,"High Risk","Worst Scenario")))</x:f>
        <x:v>High Risk</x:v>
      </x:c>
      <x:c r="P160" s="28" t="n">
        <x:f>IF(A160="Purchase Order Funding",Inputs!$G$13,IF(B160=500000,180,IF(B160=750000,365,1095)))</x:f>
        <x:v>365</x:v>
      </x:c>
      <x:c r="Q160" s="20" t="n">
        <x:f>D160</x:f>
        <x:v>0.19</x:v>
      </x:c>
      <x:c r="R160" s="30" t="n">
        <x:f>B160+C160+E160+F160+L160</x:f>
        <x:v>987400</x:v>
      </x:c>
      <x:c r="S160" s="30" t="n">
        <x:f>(B160+E160)*J160</x:f>
        <x:v>595</x:v>
      </x:c>
      <x:c r="T160" s="30" t="n">
        <x:f>C160+E160+F160+L160</x:f>
        <x:v>237400</x:v>
      </x:c>
      <x:c r="U160" s="30" t="n">
        <x:f>E160</x:f>
        <x:v>142500</x:v>
      </x:c>
      <x:c r="V160" s="30" t="n">
        <x:f>C160</x:f>
        <x:v>1000</x:v>
      </x:c>
      <x:c r="W160" s="30" t="n">
        <x:f>F160</x:f>
        <x:v>22500</x:v>
      </x:c>
      <x:c r="X160" s="30" t="n">
        <x:f>L160</x:f>
        <x:v>71400</x:v>
      </x:c>
      <x:c r="Y160" s="30" t="n">
        <x:f>SUM(U160:X160)</x:f>
        <x:v>237400</x:v>
      </x:c>
    </x:row>
    <x:row r="161">
      <x:c r="A161" t="str">
        <x:v>Short Term Contract</x:v>
      </x:c>
      <x:c r="B161" s="30" t="n">
        <x:v>750000</x:v>
      </x:c>
      <x:c r="C161" s="30" t="n">
        <x:f>Inputs!$G$5</x:f>
        <x:v>1000</x:v>
      </x:c>
      <x:c r="D161" s="20" t="n">
        <x:f>Inputs!$G$4+VLOOKUP(M161,Inputs!$A$4:$B$7,2,FALSE)</x:f>
        <x:v>0.21</x:v>
      </x:c>
      <x:c r="E161" s="30" t="n">
        <x:f>B161*D161*N161/Inputs!$G$8</x:f>
        <x:v>157500</x:v>
      </x:c>
      <x:c r="F161" s="30" t="n">
        <x:f>B161*Inputs!$G$6</x:f>
        <x:v>22500</x:v>
      </x:c>
      <x:c r="G161" t="str">
        <x:v>30 Days</x:v>
      </x:c>
      <x:c r="H161" s="28" t="n">
        <x:v>30</x:v>
      </x:c>
      <x:c r="I161" s="52" t="n">
        <x:f>Inputs!$G$7</x:f>
        <x:v>0.02</x:v>
      </x:c>
      <x:c r="J161" s="52" t="n">
        <x:f>I161/30</x:f>
        <x:v>0.0006666666666666666</x:v>
      </x:c>
      <x:c r="K161" s="52" t="n">
        <x:f>J161*H161</x:f>
        <x:v>0.02</x:v>
      </x:c>
      <x:c r="L161" s="30" t="n">
        <x:f>(B161+E161)*K161</x:f>
        <x:v>18150</x:v>
      </x:c>
      <x:c r="M161" s="30" t="n">
        <x:f>E161</x:f>
        <x:v>157500</x:v>
      </x:c>
      <x:c r="N161" s="30">
        <x:f>R161-C161-F161</x:f>
      </x:c>
      <x:c r="O161" s="20" t="str">
        <x:f>IF(ABS(D161-(Inputs!$G$4+Inputs!$B$4))&lt;0.000001,"Low Risk",IF(ABS(D161-(Inputs!$G$4+Inputs!$B$5))&lt;0.000001,"Moderate Risk",IF(ABS(D161-(Inputs!$G$4+Inputs!$B$6))&lt;0.000001,"High Risk","Worst Scenario")))</x:f>
        <x:v>Worst Scenario</x:v>
      </x:c>
      <x:c r="P161" s="28" t="n">
        <x:f>IF(A161="Purchase Order Funding",Inputs!$G$13,IF(B161=500000,180,IF(B161=750000,365,1095)))</x:f>
        <x:v>365</x:v>
      </x:c>
      <x:c r="Q161" s="20" t="n">
        <x:f>D161</x:f>
        <x:v>0.21</x:v>
      </x:c>
      <x:c r="R161" s="30" t="n">
        <x:f>B161+C161+E161+F161+L161</x:f>
        <x:v>949150</x:v>
      </x:c>
      <x:c r="S161" s="30" t="n">
        <x:f>(B161+E161)*J161</x:f>
        <x:v>605</x:v>
      </x:c>
      <x:c r="T161" s="30" t="n">
        <x:f>C161+E161+F161+L161</x:f>
        <x:v>199150</x:v>
      </x:c>
      <x:c r="U161" s="30" t="n">
        <x:f>E161</x:f>
        <x:v>157500</x:v>
      </x:c>
      <x:c r="V161" s="30" t="n">
        <x:f>C161</x:f>
        <x:v>1000</x:v>
      </x:c>
      <x:c r="W161" s="30" t="n">
        <x:f>F161</x:f>
        <x:v>22500</x:v>
      </x:c>
      <x:c r="X161" s="30" t="n">
        <x:f>L161</x:f>
        <x:v>18150</x:v>
      </x:c>
      <x:c r="Y161" s="30" t="n">
        <x:f>SUM(U161:X161)</x:f>
        <x:v>199150</x:v>
      </x:c>
    </x:row>
    <x:row r="162">
      <x:c r="A162" t="str">
        <x:v>Short Term Contract</x:v>
      </x:c>
      <x:c r="B162" s="30" t="n">
        <x:v>750000</x:v>
      </x:c>
      <x:c r="C162" s="30" t="n">
        <x:f>Inputs!$G$5</x:f>
        <x:v>1000</x:v>
      </x:c>
      <x:c r="D162" s="20" t="n">
        <x:f>Inputs!$G$4+VLOOKUP(M162,Inputs!$A$4:$B$7,2,FALSE)</x:f>
        <x:v>0.21</x:v>
      </x:c>
      <x:c r="E162" s="30" t="n">
        <x:f>B162*D162*N162/Inputs!$G$8</x:f>
        <x:v>157500</x:v>
      </x:c>
      <x:c r="F162" s="30" t="n">
        <x:f>B162*Inputs!$G$6</x:f>
        <x:v>22500</x:v>
      </x:c>
      <x:c r="G162" t="str">
        <x:v>60 Days</x:v>
      </x:c>
      <x:c r="H162" s="28" t="n">
        <x:v>60</x:v>
      </x:c>
      <x:c r="I162" s="52" t="n">
        <x:f>Inputs!$G$7</x:f>
        <x:v>0.02</x:v>
      </x:c>
      <x:c r="J162" s="52" t="n">
        <x:f>I162/30</x:f>
        <x:v>0.0006666666666666666</x:v>
      </x:c>
      <x:c r="K162" s="52" t="n">
        <x:f>J162*H162</x:f>
        <x:v>0.04</x:v>
      </x:c>
      <x:c r="L162" s="30" t="n">
        <x:f>(B162+E162)*K162</x:f>
        <x:v>36300</x:v>
      </x:c>
      <x:c r="M162" s="30" t="n">
        <x:f>E162</x:f>
        <x:v>157500</x:v>
      </x:c>
      <x:c r="N162" s="30">
        <x:f>R162-C162-F162</x:f>
      </x:c>
      <x:c r="O162" s="20" t="str">
        <x:f>IF(ABS(D162-(Inputs!$G$4+Inputs!$B$4))&lt;0.000001,"Low Risk",IF(ABS(D162-(Inputs!$G$4+Inputs!$B$5))&lt;0.000001,"Moderate Risk",IF(ABS(D162-(Inputs!$G$4+Inputs!$B$6))&lt;0.000001,"High Risk","Worst Scenario")))</x:f>
        <x:v>Worst Scenario</x:v>
      </x:c>
      <x:c r="P162" s="28" t="n">
        <x:f>IF(A162="Purchase Order Funding",Inputs!$G$13,IF(B162=500000,180,IF(B162=750000,365,1095)))</x:f>
        <x:v>365</x:v>
      </x:c>
      <x:c r="Q162" s="20" t="n">
        <x:f>D162</x:f>
        <x:v>0.21</x:v>
      </x:c>
      <x:c r="R162" s="30" t="n">
        <x:f>B162+C162+E162+F162+L162</x:f>
        <x:v>967300</x:v>
      </x:c>
      <x:c r="S162" s="30" t="n">
        <x:f>(B162+E162)*J162</x:f>
        <x:v>605</x:v>
      </x:c>
      <x:c r="T162" s="30" t="n">
        <x:f>C162+E162+F162+L162</x:f>
        <x:v>217300</x:v>
      </x:c>
      <x:c r="U162" s="30" t="n">
        <x:f>E162</x:f>
        <x:v>157500</x:v>
      </x:c>
      <x:c r="V162" s="30" t="n">
        <x:f>C162</x:f>
        <x:v>1000</x:v>
      </x:c>
      <x:c r="W162" s="30" t="n">
        <x:f>F162</x:f>
        <x:v>22500</x:v>
      </x:c>
      <x:c r="X162" s="30" t="n">
        <x:f>L162</x:f>
        <x:v>36300</x:v>
      </x:c>
      <x:c r="Y162" s="30" t="n">
        <x:f>SUM(U162:X162)</x:f>
        <x:v>217300</x:v>
      </x:c>
    </x:row>
    <x:row r="163">
      <x:c r="A163" t="str">
        <x:v>Short Term Contract</x:v>
      </x:c>
      <x:c r="B163" s="30" t="n">
        <x:v>750000</x:v>
      </x:c>
      <x:c r="C163" s="30" t="n">
        <x:f>Inputs!$G$5</x:f>
        <x:v>1000</x:v>
      </x:c>
      <x:c r="D163" s="20" t="n">
        <x:f>Inputs!$G$4+VLOOKUP(M163,Inputs!$A$4:$B$7,2,FALSE)</x:f>
        <x:v>0.21</x:v>
      </x:c>
      <x:c r="E163" s="30" t="n">
        <x:f>B163*D163*N163/Inputs!$G$8</x:f>
        <x:v>157500</x:v>
      </x:c>
      <x:c r="F163" s="30" t="n">
        <x:f>B163*Inputs!$G$6</x:f>
        <x:v>22500</x:v>
      </x:c>
      <x:c r="G163" t="str">
        <x:v>90 Days</x:v>
      </x:c>
      <x:c r="H163" s="28" t="n">
        <x:v>90</x:v>
      </x:c>
      <x:c r="I163" s="52" t="n">
        <x:f>Inputs!$G$7</x:f>
        <x:v>0.02</x:v>
      </x:c>
      <x:c r="J163" s="52" t="n">
        <x:f>I163/30</x:f>
        <x:v>0.0006666666666666666</x:v>
      </x:c>
      <x:c r="K163" s="52" t="n">
        <x:f>J163*H163</x:f>
        <x:v>0.06</x:v>
      </x:c>
      <x:c r="L163" s="30" t="n">
        <x:f>(B163+E163)*K163</x:f>
        <x:v>54450</x:v>
      </x:c>
      <x:c r="M163" s="30" t="n">
        <x:f>E163</x:f>
        <x:v>157500</x:v>
      </x:c>
      <x:c r="N163" s="30">
        <x:f>R163-C163-F163</x:f>
      </x:c>
      <x:c r="O163" s="20" t="str">
        <x:f>IF(ABS(D163-(Inputs!$G$4+Inputs!$B$4))&lt;0.000001,"Low Risk",IF(ABS(D163-(Inputs!$G$4+Inputs!$B$5))&lt;0.000001,"Moderate Risk",IF(ABS(D163-(Inputs!$G$4+Inputs!$B$6))&lt;0.000001,"High Risk","Worst Scenario")))</x:f>
        <x:v>Worst Scenario</x:v>
      </x:c>
      <x:c r="P163" s="28" t="n">
        <x:f>IF(A163="Purchase Order Funding",Inputs!$G$13,IF(B163=500000,180,IF(B163=750000,365,1095)))</x:f>
        <x:v>365</x:v>
      </x:c>
      <x:c r="Q163" s="20" t="n">
        <x:f>D163</x:f>
        <x:v>0.21</x:v>
      </x:c>
      <x:c r="R163" s="30" t="n">
        <x:f>B163+C163+E163+F163+L163</x:f>
        <x:v>985450</x:v>
      </x:c>
      <x:c r="S163" s="30" t="n">
        <x:f>(B163+E163)*J163</x:f>
        <x:v>605</x:v>
      </x:c>
      <x:c r="T163" s="30" t="n">
        <x:f>C163+E163+F163+L163</x:f>
        <x:v>235450</x:v>
      </x:c>
      <x:c r="U163" s="30" t="n">
        <x:f>E163</x:f>
        <x:v>157500</x:v>
      </x:c>
      <x:c r="V163" s="30" t="n">
        <x:f>C163</x:f>
        <x:v>1000</x:v>
      </x:c>
      <x:c r="W163" s="30" t="n">
        <x:f>F163</x:f>
        <x:v>22500</x:v>
      </x:c>
      <x:c r="X163" s="30" t="n">
        <x:f>L163</x:f>
        <x:v>54450</x:v>
      </x:c>
      <x:c r="Y163" s="30" t="n">
        <x:f>SUM(U163:X163)</x:f>
        <x:v>235450</x:v>
      </x:c>
    </x:row>
    <x:row r="164">
      <x:c r="A164" t="str">
        <x:v>Short Term Contract</x:v>
      </x:c>
      <x:c r="B164" s="30" t="n">
        <x:v>750000</x:v>
      </x:c>
      <x:c r="C164" s="30" t="n">
        <x:f>Inputs!$G$5</x:f>
        <x:v>1000</x:v>
      </x:c>
      <x:c r="D164" s="20" t="n">
        <x:f>Inputs!$G$4+VLOOKUP(M164,Inputs!$A$4:$B$7,2,FALSE)</x:f>
        <x:v>0.21</x:v>
      </x:c>
      <x:c r="E164" s="30" t="n">
        <x:f>B164*D164*N164/Inputs!$G$8</x:f>
        <x:v>157500</x:v>
      </x:c>
      <x:c r="F164" s="30" t="n">
        <x:f>B164*Inputs!$G$6</x:f>
        <x:v>22500</x:v>
      </x:c>
      <x:c r="G164" t="str">
        <x:v>120 Days</x:v>
      </x:c>
      <x:c r="H164" s="28" t="n">
        <x:v>120</x:v>
      </x:c>
      <x:c r="I164" s="52" t="n">
        <x:f>Inputs!$G$7</x:f>
        <x:v>0.02</x:v>
      </x:c>
      <x:c r="J164" s="52" t="n">
        <x:f>I164/30</x:f>
        <x:v>0.0006666666666666666</x:v>
      </x:c>
      <x:c r="K164" s="52" t="n">
        <x:f>J164*H164</x:f>
        <x:v>0.08</x:v>
      </x:c>
      <x:c r="L164" s="30" t="n">
        <x:f>(B164+E164)*K164</x:f>
        <x:v>72600</x:v>
      </x:c>
      <x:c r="M164" s="30" t="n">
        <x:f>E164</x:f>
        <x:v>157500</x:v>
      </x:c>
      <x:c r="N164" s="30">
        <x:f>R164-C164-F164</x:f>
      </x:c>
      <x:c r="O164" s="20" t="str">
        <x:f>IF(ABS(D164-(Inputs!$G$4+Inputs!$B$4))&lt;0.000001,"Low Risk",IF(ABS(D164-(Inputs!$G$4+Inputs!$B$5))&lt;0.000001,"Moderate Risk",IF(ABS(D164-(Inputs!$G$4+Inputs!$B$6))&lt;0.000001,"High Risk","Worst Scenario")))</x:f>
        <x:v>Worst Scenario</x:v>
      </x:c>
      <x:c r="P164" s="28" t="n">
        <x:f>IF(A164="Purchase Order Funding",Inputs!$G$13,IF(B164=500000,180,IF(B164=750000,365,1095)))</x:f>
        <x:v>365</x:v>
      </x:c>
      <x:c r="Q164" s="20" t="n">
        <x:f>D164</x:f>
        <x:v>0.21</x:v>
      </x:c>
      <x:c r="R164" s="30" t="n">
        <x:f>B164+C164+E164+F164+L164</x:f>
        <x:v>1003600</x:v>
      </x:c>
      <x:c r="S164" s="30" t="n">
        <x:f>(B164+E164)*J164</x:f>
        <x:v>605</x:v>
      </x:c>
      <x:c r="T164" s="30" t="n">
        <x:f>C164+E164+F164+L164</x:f>
        <x:v>253600</x:v>
      </x:c>
      <x:c r="U164" s="30" t="n">
        <x:f>E164</x:f>
        <x:v>157500</x:v>
      </x:c>
      <x:c r="V164" s="30" t="n">
        <x:f>C164</x:f>
        <x:v>1000</x:v>
      </x:c>
      <x:c r="W164" s="30" t="n">
        <x:f>F164</x:f>
        <x:v>22500</x:v>
      </x:c>
      <x:c r="X164" s="30" t="n">
        <x:f>L164</x:f>
        <x:v>72600</x:v>
      </x:c>
      <x:c r="Y164" s="30" t="n">
        <x:f>SUM(U164:X164)</x:f>
        <x:v>253600</x:v>
      </x:c>
    </x:row>
    <x:row r="165">
      <x:c r="A165" t="str">
        <x:v>Short Term Contract</x:v>
      </x:c>
      <x:c r="B165" s="30" t="n">
        <x:v>750000</x:v>
      </x:c>
      <x:c r="C165" s="30" t="n">
        <x:f>Inputs!$G$5</x:f>
        <x:v>1000</x:v>
      </x:c>
      <x:c r="D165" s="20" t="n">
        <x:f>Inputs!$G$4+VLOOKUP(M165,Inputs!$A$4:$B$7,2,FALSE)</x:f>
        <x:v>0.155</x:v>
      </x:c>
      <x:c r="E165" s="30" t="n">
        <x:f>B165*D165*N165/Inputs!$G$8</x:f>
        <x:v>232500</x:v>
      </x:c>
      <x:c r="F165" s="30" t="n">
        <x:f>B165*Inputs!$G$6</x:f>
        <x:v>22500</x:v>
      </x:c>
      <x:c r="G165" t="str">
        <x:v>30 Days</x:v>
      </x:c>
      <x:c r="H165" s="28" t="n">
        <x:v>30</x:v>
      </x:c>
      <x:c r="I165" s="52" t="n">
        <x:f>Inputs!$G$7</x:f>
        <x:v>0.02</x:v>
      </x:c>
      <x:c r="J165" s="52" t="n">
        <x:f>I165/30</x:f>
        <x:v>0.0006666666666666666</x:v>
      </x:c>
      <x:c r="K165" s="52" t="n">
        <x:f>J165*H165</x:f>
        <x:v>0.02</x:v>
      </x:c>
      <x:c r="L165" s="30" t="n">
        <x:f>(B165+E165)*K165</x:f>
        <x:v>19650</x:v>
      </x:c>
      <x:c r="M165" s="30" t="n">
        <x:f>E165</x:f>
        <x:v>232500</x:v>
      </x:c>
      <x:c r="N165" s="30">
        <x:f>R165-C165-F165</x:f>
      </x:c>
      <x:c r="O165" s="20" t="str">
        <x:f>IF(ABS(D165-(Inputs!$G$4+Inputs!$B$4))&lt;0.000001,"Low Risk",IF(ABS(D165-(Inputs!$G$4+Inputs!$B$5))&lt;0.000001,"Moderate Risk",IF(ABS(D165-(Inputs!$G$4+Inputs!$B$6))&lt;0.000001,"High Risk","Worst Scenario")))</x:f>
        <x:v>Low Risk</x:v>
      </x:c>
      <x:c r="P165" s="28" t="n">
        <x:f>IF(A165="Purchase Order Funding",Inputs!$G$13,IF(B165=500000,180,IF(B165=750000,365,1095)))</x:f>
        <x:v>365</x:v>
      </x:c>
      <x:c r="Q165" s="20" t="n">
        <x:f>D165</x:f>
        <x:v>0.155</x:v>
      </x:c>
      <x:c r="R165" s="30" t="n">
        <x:f>B165+C165+E165+F165+L165</x:f>
        <x:v>1025650</x:v>
      </x:c>
      <x:c r="S165" s="30" t="n">
        <x:f>(B165+E165)*J165</x:f>
        <x:v>655</x:v>
      </x:c>
      <x:c r="T165" s="30" t="n">
        <x:f>C165+E165+F165+L165</x:f>
        <x:v>275650</x:v>
      </x:c>
      <x:c r="U165" s="30" t="n">
        <x:f>E165</x:f>
        <x:v>232500</x:v>
      </x:c>
      <x:c r="V165" s="30" t="n">
        <x:f>C165</x:f>
        <x:v>1000</x:v>
      </x:c>
      <x:c r="W165" s="30" t="n">
        <x:f>F165</x:f>
        <x:v>22500</x:v>
      </x:c>
      <x:c r="X165" s="30" t="n">
        <x:f>L165</x:f>
        <x:v>19650</x:v>
      </x:c>
      <x:c r="Y165" s="30" t="n">
        <x:f>SUM(U165:X165)</x:f>
        <x:v>275650</x:v>
      </x:c>
    </x:row>
    <x:row r="166">
      <x:c r="A166" t="str">
        <x:v>Short Term Contract</x:v>
      </x:c>
      <x:c r="B166" s="30" t="n">
        <x:v>750000</x:v>
      </x:c>
      <x:c r="C166" s="30" t="n">
        <x:f>Inputs!$G$5</x:f>
        <x:v>1000</x:v>
      </x:c>
      <x:c r="D166" s="20" t="n">
        <x:f>Inputs!$G$4+VLOOKUP(M166,Inputs!$A$4:$B$7,2,FALSE)</x:f>
        <x:v>0.155</x:v>
      </x:c>
      <x:c r="E166" s="30" t="n">
        <x:f>B166*D166*N166/Inputs!$G$8</x:f>
        <x:v>232500</x:v>
      </x:c>
      <x:c r="F166" s="30" t="n">
        <x:f>B166*Inputs!$G$6</x:f>
        <x:v>22500</x:v>
      </x:c>
      <x:c r="G166" t="str">
        <x:v>60 Days</x:v>
      </x:c>
      <x:c r="H166" s="28" t="n">
        <x:v>60</x:v>
      </x:c>
      <x:c r="I166" s="52" t="n">
        <x:f>Inputs!$G$7</x:f>
        <x:v>0.02</x:v>
      </x:c>
      <x:c r="J166" s="52" t="n">
        <x:f>I166/30</x:f>
        <x:v>0.0006666666666666666</x:v>
      </x:c>
      <x:c r="K166" s="52" t="n">
        <x:f>J166*H166</x:f>
        <x:v>0.04</x:v>
      </x:c>
      <x:c r="L166" s="30" t="n">
        <x:f>(B166+E166)*K166</x:f>
        <x:v>39300</x:v>
      </x:c>
      <x:c r="M166" s="30" t="n">
        <x:f>E166</x:f>
        <x:v>232500</x:v>
      </x:c>
      <x:c r="N166" s="30">
        <x:f>R166-C166-F166</x:f>
      </x:c>
      <x:c r="O166" s="20" t="str">
        <x:f>IF(ABS(D166-(Inputs!$G$4+Inputs!$B$4))&lt;0.000001,"Low Risk",IF(ABS(D166-(Inputs!$G$4+Inputs!$B$5))&lt;0.000001,"Moderate Risk",IF(ABS(D166-(Inputs!$G$4+Inputs!$B$6))&lt;0.000001,"High Risk","Worst Scenario")))</x:f>
        <x:v>Low Risk</x:v>
      </x:c>
      <x:c r="P166" s="28" t="n">
        <x:f>IF(A166="Purchase Order Funding",Inputs!$G$13,IF(B166=500000,180,IF(B166=750000,365,1095)))</x:f>
        <x:v>365</x:v>
      </x:c>
      <x:c r="Q166" s="20" t="n">
        <x:f>D166</x:f>
        <x:v>0.155</x:v>
      </x:c>
      <x:c r="R166" s="30" t="n">
        <x:f>B166+C166+E166+F166+L166</x:f>
        <x:v>1045300</x:v>
      </x:c>
      <x:c r="S166" s="30" t="n">
        <x:f>(B166+E166)*J166</x:f>
        <x:v>655</x:v>
      </x:c>
      <x:c r="T166" s="30" t="n">
        <x:f>C166+E166+F166+L166</x:f>
        <x:v>295300</x:v>
      </x:c>
      <x:c r="U166" s="30" t="n">
        <x:f>E166</x:f>
        <x:v>232500</x:v>
      </x:c>
      <x:c r="V166" s="30" t="n">
        <x:f>C166</x:f>
        <x:v>1000</x:v>
      </x:c>
      <x:c r="W166" s="30" t="n">
        <x:f>F166</x:f>
        <x:v>22500</x:v>
      </x:c>
      <x:c r="X166" s="30" t="n">
        <x:f>L166</x:f>
        <x:v>39300</x:v>
      </x:c>
      <x:c r="Y166" s="30" t="n">
        <x:f>SUM(U166:X166)</x:f>
        <x:v>295300</x:v>
      </x:c>
    </x:row>
    <x:row r="167">
      <x:c r="A167" t="str">
        <x:v>Short Term Contract</x:v>
      </x:c>
      <x:c r="B167" s="30" t="n">
        <x:v>750000</x:v>
      </x:c>
      <x:c r="C167" s="30" t="n">
        <x:f>Inputs!$G$5</x:f>
        <x:v>1000</x:v>
      </x:c>
      <x:c r="D167" s="20" t="n">
        <x:f>Inputs!$G$4+VLOOKUP(M167,Inputs!$A$4:$B$7,2,FALSE)</x:f>
        <x:v>0.155</x:v>
      </x:c>
      <x:c r="E167" s="30" t="n">
        <x:f>B167*D167*N167/Inputs!$G$8</x:f>
        <x:v>232500</x:v>
      </x:c>
      <x:c r="F167" s="30" t="n">
        <x:f>B167*Inputs!$G$6</x:f>
        <x:v>22500</x:v>
      </x:c>
      <x:c r="G167" t="str">
        <x:v>90 Days</x:v>
      </x:c>
      <x:c r="H167" s="28" t="n">
        <x:v>90</x:v>
      </x:c>
      <x:c r="I167" s="52" t="n">
        <x:f>Inputs!$G$7</x:f>
        <x:v>0.02</x:v>
      </x:c>
      <x:c r="J167" s="52" t="n">
        <x:f>I167/30</x:f>
        <x:v>0.0006666666666666666</x:v>
      </x:c>
      <x:c r="K167" s="52" t="n">
        <x:f>J167*H167</x:f>
        <x:v>0.06</x:v>
      </x:c>
      <x:c r="L167" s="30" t="n">
        <x:f>(B167+E167)*K167</x:f>
        <x:v>58950</x:v>
      </x:c>
      <x:c r="M167" s="30" t="n">
        <x:f>E167</x:f>
        <x:v>232500</x:v>
      </x:c>
      <x:c r="N167" s="30">
        <x:f>R167-C167-F167</x:f>
      </x:c>
      <x:c r="O167" s="20" t="str">
        <x:f>IF(ABS(D167-(Inputs!$G$4+Inputs!$B$4))&lt;0.000001,"Low Risk",IF(ABS(D167-(Inputs!$G$4+Inputs!$B$5))&lt;0.000001,"Moderate Risk",IF(ABS(D167-(Inputs!$G$4+Inputs!$B$6))&lt;0.000001,"High Risk","Worst Scenario")))</x:f>
        <x:v>Low Risk</x:v>
      </x:c>
      <x:c r="P167" s="28" t="n">
        <x:f>IF(A167="Purchase Order Funding",Inputs!$G$13,IF(B167=500000,180,IF(B167=750000,365,1095)))</x:f>
        <x:v>365</x:v>
      </x:c>
      <x:c r="Q167" s="20" t="n">
        <x:f>D167</x:f>
        <x:v>0.155</x:v>
      </x:c>
      <x:c r="R167" s="30" t="n">
        <x:f>B167+C167+E167+F167+L167</x:f>
        <x:v>1064950</x:v>
      </x:c>
      <x:c r="S167" s="30" t="n">
        <x:f>(B167+E167)*J167</x:f>
        <x:v>655</x:v>
      </x:c>
      <x:c r="T167" s="30" t="n">
        <x:f>C167+E167+F167+L167</x:f>
        <x:v>314950</x:v>
      </x:c>
      <x:c r="U167" s="30" t="n">
        <x:f>E167</x:f>
        <x:v>232500</x:v>
      </x:c>
      <x:c r="V167" s="30" t="n">
        <x:f>C167</x:f>
        <x:v>1000</x:v>
      </x:c>
      <x:c r="W167" s="30" t="n">
        <x:f>F167</x:f>
        <x:v>22500</x:v>
      </x:c>
      <x:c r="X167" s="30" t="n">
        <x:f>L167</x:f>
        <x:v>58950</x:v>
      </x:c>
      <x:c r="Y167" s="30" t="n">
        <x:f>SUM(U167:X167)</x:f>
        <x:v>314950</x:v>
      </x:c>
    </x:row>
    <x:row r="168">
      <x:c r="A168" t="str">
        <x:v>Short Term Contract</x:v>
      </x:c>
      <x:c r="B168" s="30" t="n">
        <x:v>750000</x:v>
      </x:c>
      <x:c r="C168" s="30" t="n">
        <x:f>Inputs!$G$5</x:f>
        <x:v>1000</x:v>
      </x:c>
      <x:c r="D168" s="20" t="n">
        <x:f>Inputs!$G$4+VLOOKUP(M168,Inputs!$A$4:$B$7,2,FALSE)</x:f>
        <x:v>0.155</x:v>
      </x:c>
      <x:c r="E168" s="30" t="n">
        <x:f>B168*D168*N168/Inputs!$G$8</x:f>
        <x:v>232500</x:v>
      </x:c>
      <x:c r="F168" s="30" t="n">
        <x:f>B168*Inputs!$G$6</x:f>
        <x:v>22500</x:v>
      </x:c>
      <x:c r="G168" t="str">
        <x:v>120 Days</x:v>
      </x:c>
      <x:c r="H168" s="28" t="n">
        <x:v>120</x:v>
      </x:c>
      <x:c r="I168" s="52" t="n">
        <x:f>Inputs!$G$7</x:f>
        <x:v>0.02</x:v>
      </x:c>
      <x:c r="J168" s="52" t="n">
        <x:f>I168/30</x:f>
        <x:v>0.0006666666666666666</x:v>
      </x:c>
      <x:c r="K168" s="52" t="n">
        <x:f>J168*H168</x:f>
        <x:v>0.08</x:v>
      </x:c>
      <x:c r="L168" s="30" t="n">
        <x:f>(B168+E168)*K168</x:f>
        <x:v>78600</x:v>
      </x:c>
      <x:c r="M168" s="30" t="n">
        <x:f>E168</x:f>
        <x:v>232500</x:v>
      </x:c>
      <x:c r="N168" s="30">
        <x:f>R168-C168-F168</x:f>
      </x:c>
      <x:c r="O168" s="20" t="str">
        <x:f>IF(ABS(D168-(Inputs!$G$4+Inputs!$B$4))&lt;0.000001,"Low Risk",IF(ABS(D168-(Inputs!$G$4+Inputs!$B$5))&lt;0.000001,"Moderate Risk",IF(ABS(D168-(Inputs!$G$4+Inputs!$B$6))&lt;0.000001,"High Risk","Worst Scenario")))</x:f>
        <x:v>Low Risk</x:v>
      </x:c>
      <x:c r="P168" s="28" t="n">
        <x:f>IF(A168="Purchase Order Funding",Inputs!$G$13,IF(B168=500000,180,IF(B168=750000,365,1095)))</x:f>
        <x:v>365</x:v>
      </x:c>
      <x:c r="Q168" s="20" t="n">
        <x:f>D168</x:f>
        <x:v>0.155</x:v>
      </x:c>
      <x:c r="R168" s="30" t="n">
        <x:f>B168+C168+E168+F168+L168</x:f>
        <x:v>1084600</x:v>
      </x:c>
      <x:c r="S168" s="30" t="n">
        <x:f>(B168+E168)*J168</x:f>
        <x:v>655</x:v>
      </x:c>
      <x:c r="T168" s="30" t="n">
        <x:f>C168+E168+F168+L168</x:f>
        <x:v>334600</x:v>
      </x:c>
      <x:c r="U168" s="30" t="n">
        <x:f>E168</x:f>
        <x:v>232500</x:v>
      </x:c>
      <x:c r="V168" s="30" t="n">
        <x:f>C168</x:f>
        <x:v>1000</x:v>
      </x:c>
      <x:c r="W168" s="30" t="n">
        <x:f>F168</x:f>
        <x:v>22500</x:v>
      </x:c>
      <x:c r="X168" s="30" t="n">
        <x:f>L168</x:f>
        <x:v>78600</x:v>
      </x:c>
      <x:c r="Y168" s="30" t="n">
        <x:f>SUM(U168:X168)</x:f>
        <x:v>334600</x:v>
      </x:c>
    </x:row>
    <x:row r="169">
      <x:c r="A169" t="str">
        <x:v>Short Term Contract</x:v>
      </x:c>
      <x:c r="B169" s="30" t="n">
        <x:v>750000</x:v>
      </x:c>
      <x:c r="C169" s="30" t="n">
        <x:f>Inputs!$G$5</x:f>
        <x:v>1000</x:v>
      </x:c>
      <x:c r="D169" s="20" t="n">
        <x:f>Inputs!$G$4+VLOOKUP(M169,Inputs!$A$4:$B$7,2,FALSE)</x:f>
        <x:v>0.16999999999999998</x:v>
      </x:c>
      <x:c r="E169" s="30" t="n">
        <x:f>B169*D169*N169/Inputs!$G$8</x:f>
        <x:v>254999.99999999997</x:v>
      </x:c>
      <x:c r="F169" s="30" t="n">
        <x:f>B169*Inputs!$G$6</x:f>
        <x:v>22500</x:v>
      </x:c>
      <x:c r="G169" t="str">
        <x:v>30 Days</x:v>
      </x:c>
      <x:c r="H169" s="28" t="n">
        <x:v>30</x:v>
      </x:c>
      <x:c r="I169" s="52" t="n">
        <x:f>Inputs!$G$7</x:f>
        <x:v>0.02</x:v>
      </x:c>
      <x:c r="J169" s="52" t="n">
        <x:f>I169/30</x:f>
        <x:v>0.0006666666666666666</x:v>
      </x:c>
      <x:c r="K169" s="52" t="n">
        <x:f>J169*H169</x:f>
        <x:v>0.02</x:v>
      </x:c>
      <x:c r="L169" s="30" t="n">
        <x:f>(B169+E169)*K169</x:f>
        <x:v>20100</x:v>
      </x:c>
      <x:c r="M169" s="30" t="n">
        <x:f>E169</x:f>
        <x:v>254999.99999999997</x:v>
      </x:c>
      <x:c r="N169" s="30">
        <x:f>R169-C169-F169</x:f>
      </x:c>
      <x:c r="O169" s="20" t="str">
        <x:f>IF(ABS(D169-(Inputs!$G$4+Inputs!$B$4))&lt;0.000001,"Low Risk",IF(ABS(D169-(Inputs!$G$4+Inputs!$B$5))&lt;0.000001,"Moderate Risk",IF(ABS(D169-(Inputs!$G$4+Inputs!$B$6))&lt;0.000001,"High Risk","Worst Scenario")))</x:f>
        <x:v>Moderate Risk</x:v>
      </x:c>
      <x:c r="P169" s="28" t="n">
        <x:f>IF(A169="Purchase Order Funding",Inputs!$G$13,IF(B169=500000,180,IF(B169=750000,365,1095)))</x:f>
        <x:v>365</x:v>
      </x:c>
      <x:c r="Q169" s="20" t="n">
        <x:f>D169</x:f>
        <x:v>0.16999999999999998</x:v>
      </x:c>
      <x:c r="R169" s="30" t="n">
        <x:f>B169+C169+E169+F169+L169</x:f>
        <x:v>1048600</x:v>
      </x:c>
      <x:c r="S169" s="30" t="n">
        <x:f>(B169+E169)*J169</x:f>
        <x:v>670</x:v>
      </x:c>
      <x:c r="T169" s="30" t="n">
        <x:f>C169+E169+F169+L169</x:f>
        <x:v>298600</x:v>
      </x:c>
      <x:c r="U169" s="30" t="n">
        <x:f>E169</x:f>
        <x:v>254999.99999999997</x:v>
      </x:c>
      <x:c r="V169" s="30" t="n">
        <x:f>C169</x:f>
        <x:v>1000</x:v>
      </x:c>
      <x:c r="W169" s="30" t="n">
        <x:f>F169</x:f>
        <x:v>22500</x:v>
      </x:c>
      <x:c r="X169" s="30" t="n">
        <x:f>L169</x:f>
        <x:v>20100</x:v>
      </x:c>
      <x:c r="Y169" s="30" t="n">
        <x:f>SUM(U169:X169)</x:f>
        <x:v>298600</x:v>
      </x:c>
    </x:row>
    <x:row r="170">
      <x:c r="A170" t="str">
        <x:v>Short Term Contract</x:v>
      </x:c>
      <x:c r="B170" s="30" t="n">
        <x:v>750000</x:v>
      </x:c>
      <x:c r="C170" s="30" t="n">
        <x:f>Inputs!$G$5</x:f>
        <x:v>1000</x:v>
      </x:c>
      <x:c r="D170" s="20" t="n">
        <x:f>Inputs!$G$4+VLOOKUP(M170,Inputs!$A$4:$B$7,2,FALSE)</x:f>
        <x:v>0.16999999999999998</x:v>
      </x:c>
      <x:c r="E170" s="30" t="n">
        <x:f>B170*D170*N170/Inputs!$G$8</x:f>
        <x:v>254999.99999999997</x:v>
      </x:c>
      <x:c r="F170" s="30" t="n">
        <x:f>B170*Inputs!$G$6</x:f>
        <x:v>22500</x:v>
      </x:c>
      <x:c r="G170" t="str">
        <x:v>60 Days</x:v>
      </x:c>
      <x:c r="H170" s="28" t="n">
        <x:v>60</x:v>
      </x:c>
      <x:c r="I170" s="52" t="n">
        <x:f>Inputs!$G$7</x:f>
        <x:v>0.02</x:v>
      </x:c>
      <x:c r="J170" s="52" t="n">
        <x:f>I170/30</x:f>
        <x:v>0.0006666666666666666</x:v>
      </x:c>
      <x:c r="K170" s="52" t="n">
        <x:f>J170*H170</x:f>
        <x:v>0.04</x:v>
      </x:c>
      <x:c r="L170" s="30" t="n">
        <x:f>(B170+E170)*K170</x:f>
        <x:v>40200</x:v>
      </x:c>
      <x:c r="M170" s="30" t="n">
        <x:f>E170</x:f>
        <x:v>254999.99999999997</x:v>
      </x:c>
      <x:c r="N170" s="30">
        <x:f>R170-C170-F170</x:f>
      </x:c>
      <x:c r="O170" s="20" t="str">
        <x:f>IF(ABS(D170-(Inputs!$G$4+Inputs!$B$4))&lt;0.000001,"Low Risk",IF(ABS(D170-(Inputs!$G$4+Inputs!$B$5))&lt;0.000001,"Moderate Risk",IF(ABS(D170-(Inputs!$G$4+Inputs!$B$6))&lt;0.000001,"High Risk","Worst Scenario")))</x:f>
        <x:v>Moderate Risk</x:v>
      </x:c>
      <x:c r="P170" s="28" t="n">
        <x:f>IF(A170="Purchase Order Funding",Inputs!$G$13,IF(B170=500000,180,IF(B170=750000,365,1095)))</x:f>
        <x:v>365</x:v>
      </x:c>
      <x:c r="Q170" s="20" t="n">
        <x:f>D170</x:f>
        <x:v>0.16999999999999998</x:v>
      </x:c>
      <x:c r="R170" s="30" t="n">
        <x:f>B170+C170+E170+F170+L170</x:f>
        <x:v>1068700</x:v>
      </x:c>
      <x:c r="S170" s="30" t="n">
        <x:f>(B170+E170)*J170</x:f>
        <x:v>670</x:v>
      </x:c>
      <x:c r="T170" s="30" t="n">
        <x:f>C170+E170+F170+L170</x:f>
        <x:v>318700</x:v>
      </x:c>
      <x:c r="U170" s="30" t="n">
        <x:f>E170</x:f>
        <x:v>254999.99999999997</x:v>
      </x:c>
      <x:c r="V170" s="30" t="n">
        <x:f>C170</x:f>
        <x:v>1000</x:v>
      </x:c>
      <x:c r="W170" s="30" t="n">
        <x:f>F170</x:f>
        <x:v>22500</x:v>
      </x:c>
      <x:c r="X170" s="30" t="n">
        <x:f>L170</x:f>
        <x:v>40200</x:v>
      </x:c>
      <x:c r="Y170" s="30" t="n">
        <x:f>SUM(U170:X170)</x:f>
        <x:v>318700</x:v>
      </x:c>
    </x:row>
    <x:row r="171">
      <x:c r="A171" t="str">
        <x:v>Short Term Contract</x:v>
      </x:c>
      <x:c r="B171" s="30" t="n">
        <x:v>750000</x:v>
      </x:c>
      <x:c r="C171" s="30" t="n">
        <x:f>Inputs!$G$5</x:f>
        <x:v>1000</x:v>
      </x:c>
      <x:c r="D171" s="20" t="n">
        <x:f>Inputs!$G$4+VLOOKUP(M171,Inputs!$A$4:$B$7,2,FALSE)</x:f>
        <x:v>0.16999999999999998</x:v>
      </x:c>
      <x:c r="E171" s="30" t="n">
        <x:f>B171*D171*N171/Inputs!$G$8</x:f>
        <x:v>254999.99999999997</x:v>
      </x:c>
      <x:c r="F171" s="30" t="n">
        <x:f>B171*Inputs!$G$6</x:f>
        <x:v>22500</x:v>
      </x:c>
      <x:c r="G171" t="str">
        <x:v>90 Days</x:v>
      </x:c>
      <x:c r="H171" s="28" t="n">
        <x:v>90</x:v>
      </x:c>
      <x:c r="I171" s="52" t="n">
        <x:f>Inputs!$G$7</x:f>
        <x:v>0.02</x:v>
      </x:c>
      <x:c r="J171" s="52" t="n">
        <x:f>I171/30</x:f>
        <x:v>0.0006666666666666666</x:v>
      </x:c>
      <x:c r="K171" s="52" t="n">
        <x:f>J171*H171</x:f>
        <x:v>0.06</x:v>
      </x:c>
      <x:c r="L171" s="30" t="n">
        <x:f>(B171+E171)*K171</x:f>
        <x:v>60300</x:v>
      </x:c>
      <x:c r="M171" s="30" t="n">
        <x:f>E171</x:f>
        <x:v>254999.99999999997</x:v>
      </x:c>
      <x:c r="N171" s="30">
        <x:f>R171-C171-F171</x:f>
      </x:c>
      <x:c r="O171" s="20" t="str">
        <x:f>IF(ABS(D171-(Inputs!$G$4+Inputs!$B$4))&lt;0.000001,"Low Risk",IF(ABS(D171-(Inputs!$G$4+Inputs!$B$5))&lt;0.000001,"Moderate Risk",IF(ABS(D171-(Inputs!$G$4+Inputs!$B$6))&lt;0.000001,"High Risk","Worst Scenario")))</x:f>
        <x:v>Moderate Risk</x:v>
      </x:c>
      <x:c r="P171" s="28" t="n">
        <x:f>IF(A171="Purchase Order Funding",Inputs!$G$13,IF(B171=500000,180,IF(B171=750000,365,1095)))</x:f>
        <x:v>365</x:v>
      </x:c>
      <x:c r="Q171" s="20" t="n">
        <x:f>D171</x:f>
        <x:v>0.16999999999999998</x:v>
      </x:c>
      <x:c r="R171" s="30" t="n">
        <x:f>B171+C171+E171+F171+L171</x:f>
        <x:v>1088800</x:v>
      </x:c>
      <x:c r="S171" s="30" t="n">
        <x:f>(B171+E171)*J171</x:f>
        <x:v>670</x:v>
      </x:c>
      <x:c r="T171" s="30" t="n">
        <x:f>C171+E171+F171+L171</x:f>
        <x:v>338800</x:v>
      </x:c>
      <x:c r="U171" s="30" t="n">
        <x:f>E171</x:f>
        <x:v>254999.99999999997</x:v>
      </x:c>
      <x:c r="V171" s="30" t="n">
        <x:f>C171</x:f>
        <x:v>1000</x:v>
      </x:c>
      <x:c r="W171" s="30" t="n">
        <x:f>F171</x:f>
        <x:v>22500</x:v>
      </x:c>
      <x:c r="X171" s="30" t="n">
        <x:f>L171</x:f>
        <x:v>60300</x:v>
      </x:c>
      <x:c r="Y171" s="30" t="n">
        <x:f>SUM(U171:X171)</x:f>
        <x:v>338800</x:v>
      </x:c>
    </x:row>
    <x:row r="172">
      <x:c r="A172" t="str">
        <x:v>Short Term Contract</x:v>
      </x:c>
      <x:c r="B172" s="30" t="n">
        <x:v>750000</x:v>
      </x:c>
      <x:c r="C172" s="30" t="n">
        <x:f>Inputs!$G$5</x:f>
        <x:v>1000</x:v>
      </x:c>
      <x:c r="D172" s="20" t="n">
        <x:f>Inputs!$G$4+VLOOKUP(M172,Inputs!$A$4:$B$7,2,FALSE)</x:f>
        <x:v>0.16999999999999998</x:v>
      </x:c>
      <x:c r="E172" s="30" t="n">
        <x:f>B172*D172*N172/Inputs!$G$8</x:f>
        <x:v>254999.99999999997</x:v>
      </x:c>
      <x:c r="F172" s="30" t="n">
        <x:f>B172*Inputs!$G$6</x:f>
        <x:v>22500</x:v>
      </x:c>
      <x:c r="G172" t="str">
        <x:v>120 Days</x:v>
      </x:c>
      <x:c r="H172" s="28" t="n">
        <x:v>120</x:v>
      </x:c>
      <x:c r="I172" s="52" t="n">
        <x:f>Inputs!$G$7</x:f>
        <x:v>0.02</x:v>
      </x:c>
      <x:c r="J172" s="52" t="n">
        <x:f>I172/30</x:f>
        <x:v>0.0006666666666666666</x:v>
      </x:c>
      <x:c r="K172" s="52" t="n">
        <x:f>J172*H172</x:f>
        <x:v>0.08</x:v>
      </x:c>
      <x:c r="L172" s="30" t="n">
        <x:f>(B172+E172)*K172</x:f>
        <x:v>80400</x:v>
      </x:c>
      <x:c r="M172" s="30" t="n">
        <x:f>E172</x:f>
        <x:v>254999.99999999997</x:v>
      </x:c>
      <x:c r="N172" s="30">
        <x:f>R172-C172-F172</x:f>
      </x:c>
      <x:c r="O172" s="20" t="str">
        <x:f>IF(ABS(D172-(Inputs!$G$4+Inputs!$B$4))&lt;0.000001,"Low Risk",IF(ABS(D172-(Inputs!$G$4+Inputs!$B$5))&lt;0.000001,"Moderate Risk",IF(ABS(D172-(Inputs!$G$4+Inputs!$B$6))&lt;0.000001,"High Risk","Worst Scenario")))</x:f>
        <x:v>Moderate Risk</x:v>
      </x:c>
      <x:c r="P172" s="28" t="n">
        <x:f>IF(A172="Purchase Order Funding",Inputs!$G$13,IF(B172=500000,180,IF(B172=750000,365,1095)))</x:f>
        <x:v>365</x:v>
      </x:c>
      <x:c r="Q172" s="20" t="n">
        <x:f>D172</x:f>
        <x:v>0.16999999999999998</x:v>
      </x:c>
      <x:c r="R172" s="30" t="n">
        <x:f>B172+C172+E172+F172+L172</x:f>
        <x:v>1108900</x:v>
      </x:c>
      <x:c r="S172" s="30" t="n">
        <x:f>(B172+E172)*J172</x:f>
        <x:v>670</x:v>
      </x:c>
      <x:c r="T172" s="30" t="n">
        <x:f>C172+E172+F172+L172</x:f>
        <x:v>358900</x:v>
      </x:c>
      <x:c r="U172" s="30" t="n">
        <x:f>E172</x:f>
        <x:v>254999.99999999997</x:v>
      </x:c>
      <x:c r="V172" s="30" t="n">
        <x:f>C172</x:f>
        <x:v>1000</x:v>
      </x:c>
      <x:c r="W172" s="30" t="n">
        <x:f>F172</x:f>
        <x:v>22500</x:v>
      </x:c>
      <x:c r="X172" s="30" t="n">
        <x:f>L172</x:f>
        <x:v>80400</x:v>
      </x:c>
      <x:c r="Y172" s="30" t="n">
        <x:f>SUM(U172:X172)</x:f>
        <x:v>358900</x:v>
      </x:c>
    </x:row>
    <x:row r="173">
      <x:c r="A173" t="str">
        <x:v>Short Term Contract</x:v>
      </x:c>
      <x:c r="B173" s="30" t="n">
        <x:v>750000</x:v>
      </x:c>
      <x:c r="C173" s="30" t="n">
        <x:f>Inputs!$G$5</x:f>
        <x:v>1000</x:v>
      </x:c>
      <x:c r="D173" s="20" t="n">
        <x:f>Inputs!$G$4+VLOOKUP(M173,Inputs!$A$4:$B$7,2,FALSE)</x:f>
        <x:v>0.19</x:v>
      </x:c>
      <x:c r="E173" s="30" t="n">
        <x:f>B173*D173*N173/Inputs!$G$8</x:f>
        <x:v>285000</x:v>
      </x:c>
      <x:c r="F173" s="30" t="n">
        <x:f>B173*Inputs!$G$6</x:f>
        <x:v>22500</x:v>
      </x:c>
      <x:c r="G173" t="str">
        <x:v>30 Days</x:v>
      </x:c>
      <x:c r="H173" s="28" t="n">
        <x:v>30</x:v>
      </x:c>
      <x:c r="I173" s="52" t="n">
        <x:f>Inputs!$G$7</x:f>
        <x:v>0.02</x:v>
      </x:c>
      <x:c r="J173" s="52" t="n">
        <x:f>I173/30</x:f>
        <x:v>0.0006666666666666666</x:v>
      </x:c>
      <x:c r="K173" s="52" t="n">
        <x:f>J173*H173</x:f>
        <x:v>0.02</x:v>
      </x:c>
      <x:c r="L173" s="30" t="n">
        <x:f>(B173+E173)*K173</x:f>
        <x:v>20700</x:v>
      </x:c>
      <x:c r="M173" s="30" t="n">
        <x:f>E173</x:f>
        <x:v>285000</x:v>
      </x:c>
      <x:c r="N173" s="30">
        <x:f>R173-C173-F173</x:f>
      </x:c>
      <x:c r="O173" s="20" t="str">
        <x:f>IF(ABS(D173-(Inputs!$G$4+Inputs!$B$4))&lt;0.000001,"Low Risk",IF(ABS(D173-(Inputs!$G$4+Inputs!$B$5))&lt;0.000001,"Moderate Risk",IF(ABS(D173-(Inputs!$G$4+Inputs!$B$6))&lt;0.000001,"High Risk","Worst Scenario")))</x:f>
        <x:v>High Risk</x:v>
      </x:c>
      <x:c r="P173" s="28" t="n">
        <x:f>IF(A173="Purchase Order Funding",Inputs!$G$13,IF(B173=500000,180,IF(B173=750000,365,1095)))</x:f>
        <x:v>365</x:v>
      </x:c>
      <x:c r="Q173" s="20" t="n">
        <x:f>D173</x:f>
        <x:v>0.19</x:v>
      </x:c>
      <x:c r="R173" s="30" t="n">
        <x:f>B173+C173+E173+F173+L173</x:f>
        <x:v>1079200</x:v>
      </x:c>
      <x:c r="S173" s="30" t="n">
        <x:f>(B173+E173)*J173</x:f>
        <x:v>690</x:v>
      </x:c>
      <x:c r="T173" s="30" t="n">
        <x:f>C173+E173+F173+L173</x:f>
        <x:v>329200</x:v>
      </x:c>
      <x:c r="U173" s="30" t="n">
        <x:f>E173</x:f>
        <x:v>285000</x:v>
      </x:c>
      <x:c r="V173" s="30" t="n">
        <x:f>C173</x:f>
        <x:v>1000</x:v>
      </x:c>
      <x:c r="W173" s="30" t="n">
        <x:f>F173</x:f>
        <x:v>22500</x:v>
      </x:c>
      <x:c r="X173" s="30" t="n">
        <x:f>L173</x:f>
        <x:v>20700</x:v>
      </x:c>
      <x:c r="Y173" s="30" t="n">
        <x:f>SUM(U173:X173)</x:f>
        <x:v>329200</x:v>
      </x:c>
    </x:row>
    <x:row r="174">
      <x:c r="A174" t="str">
        <x:v>Short Term Contract</x:v>
      </x:c>
      <x:c r="B174" s="30" t="n">
        <x:v>750000</x:v>
      </x:c>
      <x:c r="C174" s="30" t="n">
        <x:f>Inputs!$G$5</x:f>
        <x:v>1000</x:v>
      </x:c>
      <x:c r="D174" s="20" t="n">
        <x:f>Inputs!$G$4+VLOOKUP(M174,Inputs!$A$4:$B$7,2,FALSE)</x:f>
        <x:v>0.19</x:v>
      </x:c>
      <x:c r="E174" s="30" t="n">
        <x:f>B174*D174*N174/Inputs!$G$8</x:f>
        <x:v>285000</x:v>
      </x:c>
      <x:c r="F174" s="30" t="n">
        <x:f>B174*Inputs!$G$6</x:f>
        <x:v>22500</x:v>
      </x:c>
      <x:c r="G174" t="str">
        <x:v>60 Days</x:v>
      </x:c>
      <x:c r="H174" s="28" t="n">
        <x:v>60</x:v>
      </x:c>
      <x:c r="I174" s="52" t="n">
        <x:f>Inputs!$G$7</x:f>
        <x:v>0.02</x:v>
      </x:c>
      <x:c r="J174" s="52" t="n">
        <x:f>I174/30</x:f>
        <x:v>0.0006666666666666666</x:v>
      </x:c>
      <x:c r="K174" s="52" t="n">
        <x:f>J174*H174</x:f>
        <x:v>0.04</x:v>
      </x:c>
      <x:c r="L174" s="30" t="n">
        <x:f>(B174+E174)*K174</x:f>
        <x:v>41400</x:v>
      </x:c>
      <x:c r="M174" s="30" t="n">
        <x:f>E174</x:f>
        <x:v>285000</x:v>
      </x:c>
      <x:c r="N174" s="30">
        <x:f>R174-C174-F174</x:f>
      </x:c>
      <x:c r="O174" s="20" t="str">
        <x:f>IF(ABS(D174-(Inputs!$G$4+Inputs!$B$4))&lt;0.000001,"Low Risk",IF(ABS(D174-(Inputs!$G$4+Inputs!$B$5))&lt;0.000001,"Moderate Risk",IF(ABS(D174-(Inputs!$G$4+Inputs!$B$6))&lt;0.000001,"High Risk","Worst Scenario")))</x:f>
        <x:v>High Risk</x:v>
      </x:c>
      <x:c r="P174" s="28" t="n">
        <x:f>IF(A174="Purchase Order Funding",Inputs!$G$13,IF(B174=500000,180,IF(B174=750000,365,1095)))</x:f>
        <x:v>365</x:v>
      </x:c>
      <x:c r="Q174" s="20" t="n">
        <x:f>D174</x:f>
        <x:v>0.19</x:v>
      </x:c>
      <x:c r="R174" s="30" t="n">
        <x:f>B174+C174+E174+F174+L174</x:f>
        <x:v>1099900</x:v>
      </x:c>
      <x:c r="S174" s="30" t="n">
        <x:f>(B174+E174)*J174</x:f>
        <x:v>690</x:v>
      </x:c>
      <x:c r="T174" s="30" t="n">
        <x:f>C174+E174+F174+L174</x:f>
        <x:v>349900</x:v>
      </x:c>
      <x:c r="U174" s="30" t="n">
        <x:f>E174</x:f>
        <x:v>285000</x:v>
      </x:c>
      <x:c r="V174" s="30" t="n">
        <x:f>C174</x:f>
        <x:v>1000</x:v>
      </x:c>
      <x:c r="W174" s="30" t="n">
        <x:f>F174</x:f>
        <x:v>22500</x:v>
      </x:c>
      <x:c r="X174" s="30" t="n">
        <x:f>L174</x:f>
        <x:v>41400</x:v>
      </x:c>
      <x:c r="Y174" s="30" t="n">
        <x:f>SUM(U174:X174)</x:f>
        <x:v>349900</x:v>
      </x:c>
    </x:row>
    <x:row r="175">
      <x:c r="A175" t="str">
        <x:v>Short Term Contract</x:v>
      </x:c>
      <x:c r="B175" s="30" t="n">
        <x:v>750000</x:v>
      </x:c>
      <x:c r="C175" s="30" t="n">
        <x:f>Inputs!$G$5</x:f>
        <x:v>1000</x:v>
      </x:c>
      <x:c r="D175" s="20" t="n">
        <x:f>Inputs!$G$4+VLOOKUP(M175,Inputs!$A$4:$B$7,2,FALSE)</x:f>
        <x:v>0.19</x:v>
      </x:c>
      <x:c r="E175" s="30" t="n">
        <x:f>B175*D175*N175/Inputs!$G$8</x:f>
        <x:v>285000</x:v>
      </x:c>
      <x:c r="F175" s="30" t="n">
        <x:f>B175*Inputs!$G$6</x:f>
        <x:v>22500</x:v>
      </x:c>
      <x:c r="G175" t="str">
        <x:v>90 Days</x:v>
      </x:c>
      <x:c r="H175" s="28" t="n">
        <x:v>90</x:v>
      </x:c>
      <x:c r="I175" s="52" t="n">
        <x:f>Inputs!$G$7</x:f>
        <x:v>0.02</x:v>
      </x:c>
      <x:c r="J175" s="52" t="n">
        <x:f>I175/30</x:f>
        <x:v>0.0006666666666666666</x:v>
      </x:c>
      <x:c r="K175" s="52" t="n">
        <x:f>J175*H175</x:f>
        <x:v>0.06</x:v>
      </x:c>
      <x:c r="L175" s="30" t="n">
        <x:f>(B175+E175)*K175</x:f>
        <x:v>62100</x:v>
      </x:c>
      <x:c r="M175" s="30" t="n">
        <x:f>E175</x:f>
        <x:v>285000</x:v>
      </x:c>
      <x:c r="N175" s="30">
        <x:f>R175-C175-F175</x:f>
      </x:c>
      <x:c r="O175" s="20" t="str">
        <x:f>IF(ABS(D175-(Inputs!$G$4+Inputs!$B$4))&lt;0.000001,"Low Risk",IF(ABS(D175-(Inputs!$G$4+Inputs!$B$5))&lt;0.000001,"Moderate Risk",IF(ABS(D175-(Inputs!$G$4+Inputs!$B$6))&lt;0.000001,"High Risk","Worst Scenario")))</x:f>
        <x:v>High Risk</x:v>
      </x:c>
      <x:c r="P175" s="28" t="n">
        <x:f>IF(A175="Purchase Order Funding",Inputs!$G$13,IF(B175=500000,180,IF(B175=750000,365,1095)))</x:f>
        <x:v>365</x:v>
      </x:c>
      <x:c r="Q175" s="20" t="n">
        <x:f>D175</x:f>
        <x:v>0.19</x:v>
      </x:c>
      <x:c r="R175" s="30" t="n">
        <x:f>B175+C175+E175+F175+L175</x:f>
        <x:v>1120600</x:v>
      </x:c>
      <x:c r="S175" s="30" t="n">
        <x:f>(B175+E175)*J175</x:f>
        <x:v>690</x:v>
      </x:c>
      <x:c r="T175" s="30" t="n">
        <x:f>C175+E175+F175+L175</x:f>
        <x:v>370600</x:v>
      </x:c>
      <x:c r="U175" s="30" t="n">
        <x:f>E175</x:f>
        <x:v>285000</x:v>
      </x:c>
      <x:c r="V175" s="30" t="n">
        <x:f>C175</x:f>
        <x:v>1000</x:v>
      </x:c>
      <x:c r="W175" s="30" t="n">
        <x:f>F175</x:f>
        <x:v>22500</x:v>
      </x:c>
      <x:c r="X175" s="30" t="n">
        <x:f>L175</x:f>
        <x:v>62100</x:v>
      </x:c>
      <x:c r="Y175" s="30" t="n">
        <x:f>SUM(U175:X175)</x:f>
        <x:v>370600</x:v>
      </x:c>
    </x:row>
    <x:row r="176">
      <x:c r="A176" t="str">
        <x:v>Short Term Contract</x:v>
      </x:c>
      <x:c r="B176" s="30" t="n">
        <x:v>750000</x:v>
      </x:c>
      <x:c r="C176" s="30" t="n">
        <x:f>Inputs!$G$5</x:f>
        <x:v>1000</x:v>
      </x:c>
      <x:c r="D176" s="20" t="n">
        <x:f>Inputs!$G$4+VLOOKUP(M176,Inputs!$A$4:$B$7,2,FALSE)</x:f>
        <x:v>0.19</x:v>
      </x:c>
      <x:c r="E176" s="30" t="n">
        <x:f>B176*D176*N176/Inputs!$G$8</x:f>
        <x:v>285000</x:v>
      </x:c>
      <x:c r="F176" s="30" t="n">
        <x:f>B176*Inputs!$G$6</x:f>
        <x:v>22500</x:v>
      </x:c>
      <x:c r="G176" t="str">
        <x:v>120 Days</x:v>
      </x:c>
      <x:c r="H176" s="28" t="n">
        <x:v>120</x:v>
      </x:c>
      <x:c r="I176" s="52" t="n">
        <x:f>Inputs!$G$7</x:f>
        <x:v>0.02</x:v>
      </x:c>
      <x:c r="J176" s="52" t="n">
        <x:f>I176/30</x:f>
        <x:v>0.0006666666666666666</x:v>
      </x:c>
      <x:c r="K176" s="52" t="n">
        <x:f>J176*H176</x:f>
        <x:v>0.08</x:v>
      </x:c>
      <x:c r="L176" s="30" t="n">
        <x:f>(B176+E176)*K176</x:f>
        <x:v>82800</x:v>
      </x:c>
      <x:c r="M176" s="30" t="n">
        <x:f>E176</x:f>
        <x:v>285000</x:v>
      </x:c>
      <x:c r="N176" s="30">
        <x:f>R176-C176-F176</x:f>
      </x:c>
      <x:c r="O176" s="20" t="str">
        <x:f>IF(ABS(D176-(Inputs!$G$4+Inputs!$B$4))&lt;0.000001,"Low Risk",IF(ABS(D176-(Inputs!$G$4+Inputs!$B$5))&lt;0.000001,"Moderate Risk",IF(ABS(D176-(Inputs!$G$4+Inputs!$B$6))&lt;0.000001,"High Risk","Worst Scenario")))</x:f>
        <x:v>High Risk</x:v>
      </x:c>
      <x:c r="P176" s="28" t="n">
        <x:f>IF(A176="Purchase Order Funding",Inputs!$G$13,IF(B176=500000,180,IF(B176=750000,365,1095)))</x:f>
        <x:v>365</x:v>
      </x:c>
      <x:c r="Q176" s="20" t="n">
        <x:f>D176</x:f>
        <x:v>0.19</x:v>
      </x:c>
      <x:c r="R176" s="30" t="n">
        <x:f>B176+C176+E176+F176+L176</x:f>
        <x:v>1141300</x:v>
      </x:c>
      <x:c r="S176" s="30" t="n">
        <x:f>(B176+E176)*J176</x:f>
        <x:v>690</x:v>
      </x:c>
      <x:c r="T176" s="30" t="n">
        <x:f>C176+E176+F176+L176</x:f>
        <x:v>391300</x:v>
      </x:c>
      <x:c r="U176" s="30" t="n">
        <x:f>E176</x:f>
        <x:v>285000</x:v>
      </x:c>
      <x:c r="V176" s="30" t="n">
        <x:f>C176</x:f>
        <x:v>1000</x:v>
      </x:c>
      <x:c r="W176" s="30" t="n">
        <x:f>F176</x:f>
        <x:v>22500</x:v>
      </x:c>
      <x:c r="X176" s="30" t="n">
        <x:f>L176</x:f>
        <x:v>82800</x:v>
      </x:c>
      <x:c r="Y176" s="30" t="n">
        <x:f>SUM(U176:X176)</x:f>
        <x:v>391300</x:v>
      </x:c>
    </x:row>
    <x:row r="177">
      <x:c r="A177" t="str">
        <x:v>Short Term Contract</x:v>
      </x:c>
      <x:c r="B177" s="30" t="n">
        <x:v>750000</x:v>
      </x:c>
      <x:c r="C177" s="30" t="n">
        <x:f>Inputs!$G$5</x:f>
        <x:v>1000</x:v>
      </x:c>
      <x:c r="D177" s="20" t="n">
        <x:f>Inputs!$G$4+VLOOKUP(M177,Inputs!$A$4:$B$7,2,FALSE)</x:f>
        <x:v>0.21</x:v>
      </x:c>
      <x:c r="E177" s="30" t="n">
        <x:f>B177*D177*N177/Inputs!$G$8</x:f>
        <x:v>315000</x:v>
      </x:c>
      <x:c r="F177" s="30" t="n">
        <x:f>B177*Inputs!$G$6</x:f>
        <x:v>22500</x:v>
      </x:c>
      <x:c r="G177" t="str">
        <x:v>30 Days</x:v>
      </x:c>
      <x:c r="H177" s="28" t="n">
        <x:v>30</x:v>
      </x:c>
      <x:c r="I177" s="52" t="n">
        <x:f>Inputs!$G$7</x:f>
        <x:v>0.02</x:v>
      </x:c>
      <x:c r="J177" s="52" t="n">
        <x:f>I177/30</x:f>
        <x:v>0.0006666666666666666</x:v>
      </x:c>
      <x:c r="K177" s="52" t="n">
        <x:f>J177*H177</x:f>
        <x:v>0.02</x:v>
      </x:c>
      <x:c r="L177" s="30" t="n">
        <x:f>(B177+E177)*K177</x:f>
        <x:v>21300</x:v>
      </x:c>
      <x:c r="M177" s="30" t="n">
        <x:f>E177</x:f>
        <x:v>315000</x:v>
      </x:c>
      <x:c r="N177" s="30">
        <x:f>R177-C177-F177</x:f>
      </x:c>
      <x:c r="O177" s="20" t="str">
        <x:f>IF(ABS(D177-(Inputs!$G$4+Inputs!$B$4))&lt;0.000001,"Low Risk",IF(ABS(D177-(Inputs!$G$4+Inputs!$B$5))&lt;0.000001,"Moderate Risk",IF(ABS(D177-(Inputs!$G$4+Inputs!$B$6))&lt;0.000001,"High Risk","Worst Scenario")))</x:f>
        <x:v>Worst Scenario</x:v>
      </x:c>
      <x:c r="P177" s="28" t="n">
        <x:f>IF(A177="Purchase Order Funding",Inputs!$G$13,IF(B177=500000,180,IF(B177=750000,365,1095)))</x:f>
        <x:v>365</x:v>
      </x:c>
      <x:c r="Q177" s="20" t="n">
        <x:f>D177</x:f>
        <x:v>0.21</x:v>
      </x:c>
      <x:c r="R177" s="30" t="n">
        <x:f>B177+C177+E177+F177+L177</x:f>
        <x:v>1109800</x:v>
      </x:c>
      <x:c r="S177" s="30" t="n">
        <x:f>(B177+E177)*J177</x:f>
        <x:v>710</x:v>
      </x:c>
      <x:c r="T177" s="30" t="n">
        <x:f>C177+E177+F177+L177</x:f>
        <x:v>359800</x:v>
      </x:c>
      <x:c r="U177" s="30" t="n">
        <x:f>E177</x:f>
        <x:v>315000</x:v>
      </x:c>
      <x:c r="V177" s="30" t="n">
        <x:f>C177</x:f>
        <x:v>1000</x:v>
      </x:c>
      <x:c r="W177" s="30" t="n">
        <x:f>F177</x:f>
        <x:v>22500</x:v>
      </x:c>
      <x:c r="X177" s="30" t="n">
        <x:f>L177</x:f>
        <x:v>21300</x:v>
      </x:c>
      <x:c r="Y177" s="30" t="n">
        <x:f>SUM(U177:X177)</x:f>
        <x:v>359800</x:v>
      </x:c>
    </x:row>
    <x:row r="178">
      <x:c r="A178" t="str">
        <x:v>Short Term Contract</x:v>
      </x:c>
      <x:c r="B178" s="30" t="n">
        <x:v>750000</x:v>
      </x:c>
      <x:c r="C178" s="30" t="n">
        <x:f>Inputs!$G$5</x:f>
        <x:v>1000</x:v>
      </x:c>
      <x:c r="D178" s="20" t="n">
        <x:f>Inputs!$G$4+VLOOKUP(M178,Inputs!$A$4:$B$7,2,FALSE)</x:f>
        <x:v>0.21</x:v>
      </x:c>
      <x:c r="E178" s="30" t="n">
        <x:f>B178*D178*N178/Inputs!$G$8</x:f>
        <x:v>315000</x:v>
      </x:c>
      <x:c r="F178" s="30" t="n">
        <x:f>B178*Inputs!$G$6</x:f>
        <x:v>22500</x:v>
      </x:c>
      <x:c r="G178" t="str">
        <x:v>60 Days</x:v>
      </x:c>
      <x:c r="H178" s="28" t="n">
        <x:v>60</x:v>
      </x:c>
      <x:c r="I178" s="52" t="n">
        <x:f>Inputs!$G$7</x:f>
        <x:v>0.02</x:v>
      </x:c>
      <x:c r="J178" s="52" t="n">
        <x:f>I178/30</x:f>
        <x:v>0.0006666666666666666</x:v>
      </x:c>
      <x:c r="K178" s="52" t="n">
        <x:f>J178*H178</x:f>
        <x:v>0.04</x:v>
      </x:c>
      <x:c r="L178" s="30" t="n">
        <x:f>(B178+E178)*K178</x:f>
        <x:v>42600</x:v>
      </x:c>
      <x:c r="M178" s="30" t="n">
        <x:f>E178</x:f>
        <x:v>315000</x:v>
      </x:c>
      <x:c r="N178" s="30">
        <x:f>R178-C178-F178</x:f>
      </x:c>
      <x:c r="O178" s="20" t="str">
        <x:f>IF(ABS(D178-(Inputs!$G$4+Inputs!$B$4))&lt;0.000001,"Low Risk",IF(ABS(D178-(Inputs!$G$4+Inputs!$B$5))&lt;0.000001,"Moderate Risk",IF(ABS(D178-(Inputs!$G$4+Inputs!$B$6))&lt;0.000001,"High Risk","Worst Scenario")))</x:f>
        <x:v>Worst Scenario</x:v>
      </x:c>
      <x:c r="P178" s="28" t="n">
        <x:f>IF(A178="Purchase Order Funding",Inputs!$G$13,IF(B178=500000,180,IF(B178=750000,365,1095)))</x:f>
        <x:v>365</x:v>
      </x:c>
      <x:c r="Q178" s="20" t="n">
        <x:f>D178</x:f>
        <x:v>0.21</x:v>
      </x:c>
      <x:c r="R178" s="30" t="n">
        <x:f>B178+C178+E178+F178+L178</x:f>
        <x:v>1131100</x:v>
      </x:c>
      <x:c r="S178" s="30" t="n">
        <x:f>(B178+E178)*J178</x:f>
        <x:v>710</x:v>
      </x:c>
      <x:c r="T178" s="30" t="n">
        <x:f>C178+E178+F178+L178</x:f>
        <x:v>381100</x:v>
      </x:c>
      <x:c r="U178" s="30" t="n">
        <x:f>E178</x:f>
        <x:v>315000</x:v>
      </x:c>
      <x:c r="V178" s="30" t="n">
        <x:f>C178</x:f>
        <x:v>1000</x:v>
      </x:c>
      <x:c r="W178" s="30" t="n">
        <x:f>F178</x:f>
        <x:v>22500</x:v>
      </x:c>
      <x:c r="X178" s="30" t="n">
        <x:f>L178</x:f>
        <x:v>42600</x:v>
      </x:c>
      <x:c r="Y178" s="30" t="n">
        <x:f>SUM(U178:X178)</x:f>
        <x:v>381100</x:v>
      </x:c>
    </x:row>
    <x:row r="179">
      <x:c r="A179" t="str">
        <x:v>Short Term Contract</x:v>
      </x:c>
      <x:c r="B179" s="30" t="n">
        <x:v>750000</x:v>
      </x:c>
      <x:c r="C179" s="30" t="n">
        <x:f>Inputs!$G$5</x:f>
        <x:v>1000</x:v>
      </x:c>
      <x:c r="D179" s="20" t="n">
        <x:f>Inputs!$G$4+VLOOKUP(M179,Inputs!$A$4:$B$7,2,FALSE)</x:f>
        <x:v>0.21</x:v>
      </x:c>
      <x:c r="E179" s="30" t="n">
        <x:f>B179*D179*N179/Inputs!$G$8</x:f>
        <x:v>315000</x:v>
      </x:c>
      <x:c r="F179" s="30" t="n">
        <x:f>B179*Inputs!$G$6</x:f>
        <x:v>22500</x:v>
      </x:c>
      <x:c r="G179" t="str">
        <x:v>90 Days</x:v>
      </x:c>
      <x:c r="H179" s="28" t="n">
        <x:v>90</x:v>
      </x:c>
      <x:c r="I179" s="52" t="n">
        <x:f>Inputs!$G$7</x:f>
        <x:v>0.02</x:v>
      </x:c>
      <x:c r="J179" s="52" t="n">
        <x:f>I179/30</x:f>
        <x:v>0.0006666666666666666</x:v>
      </x:c>
      <x:c r="K179" s="52" t="n">
        <x:f>J179*H179</x:f>
        <x:v>0.06</x:v>
      </x:c>
      <x:c r="L179" s="30" t="n">
        <x:f>(B179+E179)*K179</x:f>
        <x:v>63900</x:v>
      </x:c>
      <x:c r="M179" s="30" t="n">
        <x:f>E179</x:f>
        <x:v>315000</x:v>
      </x:c>
      <x:c r="N179" s="30">
        <x:f>R179-C179-F179</x:f>
      </x:c>
      <x:c r="O179" s="20" t="str">
        <x:f>IF(ABS(D179-(Inputs!$G$4+Inputs!$B$4))&lt;0.000001,"Low Risk",IF(ABS(D179-(Inputs!$G$4+Inputs!$B$5))&lt;0.000001,"Moderate Risk",IF(ABS(D179-(Inputs!$G$4+Inputs!$B$6))&lt;0.000001,"High Risk","Worst Scenario")))</x:f>
        <x:v>Worst Scenario</x:v>
      </x:c>
      <x:c r="P179" s="28" t="n">
        <x:f>IF(A179="Purchase Order Funding",Inputs!$G$13,IF(B179=500000,180,IF(B179=750000,365,1095)))</x:f>
        <x:v>365</x:v>
      </x:c>
      <x:c r="Q179" s="20" t="n">
        <x:f>D179</x:f>
        <x:v>0.21</x:v>
      </x:c>
      <x:c r="R179" s="30" t="n">
        <x:f>B179+C179+E179+F179+L179</x:f>
        <x:v>1152400</x:v>
      </x:c>
      <x:c r="S179" s="30" t="n">
        <x:f>(B179+E179)*J179</x:f>
        <x:v>710</x:v>
      </x:c>
      <x:c r="T179" s="30" t="n">
        <x:f>C179+E179+F179+L179</x:f>
        <x:v>402400</x:v>
      </x:c>
      <x:c r="U179" s="30" t="n">
        <x:f>E179</x:f>
        <x:v>315000</x:v>
      </x:c>
      <x:c r="V179" s="30" t="n">
        <x:f>C179</x:f>
        <x:v>1000</x:v>
      </x:c>
      <x:c r="W179" s="30" t="n">
        <x:f>F179</x:f>
        <x:v>22500</x:v>
      </x:c>
      <x:c r="X179" s="30" t="n">
        <x:f>L179</x:f>
        <x:v>63900</x:v>
      </x:c>
      <x:c r="Y179" s="30" t="n">
        <x:f>SUM(U179:X179)</x:f>
        <x:v>402400</x:v>
      </x:c>
    </x:row>
    <x:row r="180">
      <x:c r="A180" t="str">
        <x:v>Short Term Contract</x:v>
      </x:c>
      <x:c r="B180" s="30" t="n">
        <x:v>750000</x:v>
      </x:c>
      <x:c r="C180" s="30" t="n">
        <x:f>Inputs!$G$5</x:f>
        <x:v>1000</x:v>
      </x:c>
      <x:c r="D180" s="20" t="n">
        <x:f>Inputs!$G$4+VLOOKUP(M180,Inputs!$A$4:$B$7,2,FALSE)</x:f>
        <x:v>0.21</x:v>
      </x:c>
      <x:c r="E180" s="30" t="n">
        <x:f>B180*D180*N180/Inputs!$G$8</x:f>
        <x:v>315000</x:v>
      </x:c>
      <x:c r="F180" s="30" t="n">
        <x:f>B180*Inputs!$G$6</x:f>
        <x:v>22500</x:v>
      </x:c>
      <x:c r="G180" t="str">
        <x:v>120 Days</x:v>
      </x:c>
      <x:c r="H180" s="28" t="n">
        <x:v>120</x:v>
      </x:c>
      <x:c r="I180" s="52" t="n">
        <x:f>Inputs!$G$7</x:f>
        <x:v>0.02</x:v>
      </x:c>
      <x:c r="J180" s="52" t="n">
        <x:f>I180/30</x:f>
        <x:v>0.0006666666666666666</x:v>
      </x:c>
      <x:c r="K180" s="52" t="n">
        <x:f>J180*H180</x:f>
        <x:v>0.08</x:v>
      </x:c>
      <x:c r="L180" s="30" t="n">
        <x:f>(B180+E180)*K180</x:f>
        <x:v>85200</x:v>
      </x:c>
      <x:c r="M180" s="30" t="n">
        <x:f>E180</x:f>
        <x:v>315000</x:v>
      </x:c>
      <x:c r="N180" s="30">
        <x:f>R180-C180-F180</x:f>
      </x:c>
      <x:c r="O180" s="20" t="str">
        <x:f>IF(ABS(D180-(Inputs!$G$4+Inputs!$B$4))&lt;0.000001,"Low Risk",IF(ABS(D180-(Inputs!$G$4+Inputs!$B$5))&lt;0.000001,"Moderate Risk",IF(ABS(D180-(Inputs!$G$4+Inputs!$B$6))&lt;0.000001,"High Risk","Worst Scenario")))</x:f>
        <x:v>Worst Scenario</x:v>
      </x:c>
      <x:c r="P180" s="28" t="n">
        <x:f>IF(A180="Purchase Order Funding",Inputs!$G$13,IF(B180=500000,180,IF(B180=750000,365,1095)))</x:f>
        <x:v>365</x:v>
      </x:c>
      <x:c r="Q180" s="20" t="n">
        <x:f>D180</x:f>
        <x:v>0.21</x:v>
      </x:c>
      <x:c r="R180" s="30" t="n">
        <x:f>B180+C180+E180+F180+L180</x:f>
        <x:v>1173700</x:v>
      </x:c>
      <x:c r="S180" s="30" t="n">
        <x:f>(B180+E180)*J180</x:f>
        <x:v>710</x:v>
      </x:c>
      <x:c r="T180" s="30" t="n">
        <x:f>C180+E180+F180+L180</x:f>
        <x:v>423700</x:v>
      </x:c>
      <x:c r="U180" s="30" t="n">
        <x:f>E180</x:f>
        <x:v>315000</x:v>
      </x:c>
      <x:c r="V180" s="30" t="n">
        <x:f>C180</x:f>
        <x:v>1000</x:v>
      </x:c>
      <x:c r="W180" s="30" t="n">
        <x:f>F180</x:f>
        <x:v>22500</x:v>
      </x:c>
      <x:c r="X180" s="30" t="n">
        <x:f>L180</x:f>
        <x:v>85200</x:v>
      </x:c>
      <x:c r="Y180" s="30" t="n">
        <x:f>SUM(U180:X180)</x:f>
        <x:v>423700</x:v>
      </x:c>
    </x:row>
    <x:row r="181">
      <x:c r="A181" t="str">
        <x:v>Short Term Contract</x:v>
      </x:c>
      <x:c r="B181" s="30" t="n">
        <x:v>750000</x:v>
      </x:c>
      <x:c r="C181" s="30" t="n">
        <x:f>Inputs!$G$5</x:f>
        <x:v>1000</x:v>
      </x:c>
      <x:c r="D181" s="20" t="n">
        <x:f>Inputs!$G$4+VLOOKUP(M181,Inputs!$A$4:$B$7,2,FALSE)</x:f>
        <x:v>0.155</x:v>
      </x:c>
      <x:c r="E181" s="30" t="n">
        <x:f>B181*D181*N181/Inputs!$G$8</x:f>
        <x:v>348750</x:v>
      </x:c>
      <x:c r="F181" s="30" t="n">
        <x:f>B181*Inputs!$G$6</x:f>
        <x:v>22500</x:v>
      </x:c>
      <x:c r="G181" t="str">
        <x:v>30 Days</x:v>
      </x:c>
      <x:c r="H181" s="28" t="n">
        <x:v>30</x:v>
      </x:c>
      <x:c r="I181" s="52" t="n">
        <x:f>Inputs!$G$7</x:f>
        <x:v>0.02</x:v>
      </x:c>
      <x:c r="J181" s="52" t="n">
        <x:f>I181/30</x:f>
        <x:v>0.0006666666666666666</x:v>
      </x:c>
      <x:c r="K181" s="52" t="n">
        <x:f>J181*H181</x:f>
        <x:v>0.02</x:v>
      </x:c>
      <x:c r="L181" s="30" t="n">
        <x:f>(B181+E181)*K181</x:f>
        <x:v>21975</x:v>
      </x:c>
      <x:c r="M181" s="30" t="n">
        <x:f>E181</x:f>
        <x:v>348750</x:v>
      </x:c>
      <x:c r="N181" s="30">
        <x:f>R181-C181-F181</x:f>
      </x:c>
      <x:c r="O181" s="20" t="str">
        <x:f>IF(ABS(D181-(Inputs!$G$4+Inputs!$B$4))&lt;0.000001,"Low Risk",IF(ABS(D181-(Inputs!$G$4+Inputs!$B$5))&lt;0.000001,"Moderate Risk",IF(ABS(D181-(Inputs!$G$4+Inputs!$B$6))&lt;0.000001,"High Risk","Worst Scenario")))</x:f>
        <x:v>Low Risk</x:v>
      </x:c>
      <x:c r="P181" s="28" t="n">
        <x:f>IF(A181="Purchase Order Funding",Inputs!$G$13,IF(B181=500000,180,IF(B181=750000,365,1095)))</x:f>
        <x:v>365</x:v>
      </x:c>
      <x:c r="Q181" s="20" t="n">
        <x:f>D181</x:f>
        <x:v>0.155</x:v>
      </x:c>
      <x:c r="R181" s="30" t="n">
        <x:f>B181+C181+E181+F181+L181</x:f>
        <x:v>1144225</x:v>
      </x:c>
      <x:c r="S181" s="30" t="n">
        <x:f>(B181+E181)*J181</x:f>
        <x:v>732.5</x:v>
      </x:c>
      <x:c r="T181" s="30" t="n">
        <x:f>C181+E181+F181+L181</x:f>
        <x:v>394225</x:v>
      </x:c>
      <x:c r="U181" s="30" t="n">
        <x:f>E181</x:f>
        <x:v>348750</x:v>
      </x:c>
      <x:c r="V181" s="30" t="n">
        <x:f>C181</x:f>
        <x:v>1000</x:v>
      </x:c>
      <x:c r="W181" s="30" t="n">
        <x:f>F181</x:f>
        <x:v>22500</x:v>
      </x:c>
      <x:c r="X181" s="30" t="n">
        <x:f>L181</x:f>
        <x:v>21975</x:v>
      </x:c>
      <x:c r="Y181" s="30" t="n">
        <x:f>SUM(U181:X181)</x:f>
        <x:v>394225</x:v>
      </x:c>
    </x:row>
    <x:row r="182">
      <x:c r="A182" t="str">
        <x:v>Short Term Contract</x:v>
      </x:c>
      <x:c r="B182" s="30" t="n">
        <x:v>750000</x:v>
      </x:c>
      <x:c r="C182" s="30" t="n">
        <x:f>Inputs!$G$5</x:f>
        <x:v>1000</x:v>
      </x:c>
      <x:c r="D182" s="20" t="n">
        <x:f>Inputs!$G$4+VLOOKUP(M182,Inputs!$A$4:$B$7,2,FALSE)</x:f>
        <x:v>0.155</x:v>
      </x:c>
      <x:c r="E182" s="30" t="n">
        <x:f>B182*D182*N182/Inputs!$G$8</x:f>
        <x:v>348750</x:v>
      </x:c>
      <x:c r="F182" s="30" t="n">
        <x:f>B182*Inputs!$G$6</x:f>
        <x:v>22500</x:v>
      </x:c>
      <x:c r="G182" t="str">
        <x:v>60 Days</x:v>
      </x:c>
      <x:c r="H182" s="28" t="n">
        <x:v>60</x:v>
      </x:c>
      <x:c r="I182" s="52" t="n">
        <x:f>Inputs!$G$7</x:f>
        <x:v>0.02</x:v>
      </x:c>
      <x:c r="J182" s="52" t="n">
        <x:f>I182/30</x:f>
        <x:v>0.0006666666666666666</x:v>
      </x:c>
      <x:c r="K182" s="52" t="n">
        <x:f>J182*H182</x:f>
        <x:v>0.04</x:v>
      </x:c>
      <x:c r="L182" s="30" t="n">
        <x:f>(B182+E182)*K182</x:f>
        <x:v>43950</x:v>
      </x:c>
      <x:c r="M182" s="30" t="n">
        <x:f>E182</x:f>
        <x:v>348750</x:v>
      </x:c>
      <x:c r="N182" s="30">
        <x:f>R182-C182-F182</x:f>
      </x:c>
      <x:c r="O182" s="20" t="str">
        <x:f>IF(ABS(D182-(Inputs!$G$4+Inputs!$B$4))&lt;0.000001,"Low Risk",IF(ABS(D182-(Inputs!$G$4+Inputs!$B$5))&lt;0.000001,"Moderate Risk",IF(ABS(D182-(Inputs!$G$4+Inputs!$B$6))&lt;0.000001,"High Risk","Worst Scenario")))</x:f>
        <x:v>Low Risk</x:v>
      </x:c>
      <x:c r="P182" s="28" t="n">
        <x:f>IF(A182="Purchase Order Funding",Inputs!$G$13,IF(B182=500000,180,IF(B182=750000,365,1095)))</x:f>
        <x:v>365</x:v>
      </x:c>
      <x:c r="Q182" s="20" t="n">
        <x:f>D182</x:f>
        <x:v>0.155</x:v>
      </x:c>
      <x:c r="R182" s="30" t="n">
        <x:f>B182+C182+E182+F182+L182</x:f>
        <x:v>1166200</x:v>
      </x:c>
      <x:c r="S182" s="30" t="n">
        <x:f>(B182+E182)*J182</x:f>
        <x:v>732.5</x:v>
      </x:c>
      <x:c r="T182" s="30" t="n">
        <x:f>C182+E182+F182+L182</x:f>
        <x:v>416200</x:v>
      </x:c>
      <x:c r="U182" s="30" t="n">
        <x:f>E182</x:f>
        <x:v>348750</x:v>
      </x:c>
      <x:c r="V182" s="30" t="n">
        <x:f>C182</x:f>
        <x:v>1000</x:v>
      </x:c>
      <x:c r="W182" s="30" t="n">
        <x:f>F182</x:f>
        <x:v>22500</x:v>
      </x:c>
      <x:c r="X182" s="30" t="n">
        <x:f>L182</x:f>
        <x:v>43950</x:v>
      </x:c>
      <x:c r="Y182" s="30" t="n">
        <x:f>SUM(U182:X182)</x:f>
        <x:v>416200</x:v>
      </x:c>
    </x:row>
    <x:row r="183">
      <x:c r="A183" t="str">
        <x:v>Short Term Contract</x:v>
      </x:c>
      <x:c r="B183" s="30" t="n">
        <x:v>750000</x:v>
      </x:c>
      <x:c r="C183" s="30" t="n">
        <x:f>Inputs!$G$5</x:f>
        <x:v>1000</x:v>
      </x:c>
      <x:c r="D183" s="20" t="n">
        <x:f>Inputs!$G$4+VLOOKUP(M183,Inputs!$A$4:$B$7,2,FALSE)</x:f>
        <x:v>0.155</x:v>
      </x:c>
      <x:c r="E183" s="30" t="n">
        <x:f>B183*D183*N183/Inputs!$G$8</x:f>
        <x:v>348750</x:v>
      </x:c>
      <x:c r="F183" s="30" t="n">
        <x:f>B183*Inputs!$G$6</x:f>
        <x:v>22500</x:v>
      </x:c>
      <x:c r="G183" t="str">
        <x:v>90 Days</x:v>
      </x:c>
      <x:c r="H183" s="28" t="n">
        <x:v>90</x:v>
      </x:c>
      <x:c r="I183" s="52" t="n">
        <x:f>Inputs!$G$7</x:f>
        <x:v>0.02</x:v>
      </x:c>
      <x:c r="J183" s="52" t="n">
        <x:f>I183/30</x:f>
        <x:v>0.0006666666666666666</x:v>
      </x:c>
      <x:c r="K183" s="52" t="n">
        <x:f>J183*H183</x:f>
        <x:v>0.06</x:v>
      </x:c>
      <x:c r="L183" s="30" t="n">
        <x:f>(B183+E183)*K183</x:f>
        <x:v>65925</x:v>
      </x:c>
      <x:c r="M183" s="30" t="n">
        <x:f>E183</x:f>
        <x:v>348750</x:v>
      </x:c>
      <x:c r="N183" s="30">
        <x:f>R183-C183-F183</x:f>
      </x:c>
      <x:c r="O183" s="20" t="str">
        <x:f>IF(ABS(D183-(Inputs!$G$4+Inputs!$B$4))&lt;0.000001,"Low Risk",IF(ABS(D183-(Inputs!$G$4+Inputs!$B$5))&lt;0.000001,"Moderate Risk",IF(ABS(D183-(Inputs!$G$4+Inputs!$B$6))&lt;0.000001,"High Risk","Worst Scenario")))</x:f>
        <x:v>Low Risk</x:v>
      </x:c>
      <x:c r="P183" s="28" t="n">
        <x:f>IF(A183="Purchase Order Funding",Inputs!$G$13,IF(B183=500000,180,IF(B183=750000,365,1095)))</x:f>
        <x:v>365</x:v>
      </x:c>
      <x:c r="Q183" s="20" t="n">
        <x:f>D183</x:f>
        <x:v>0.155</x:v>
      </x:c>
      <x:c r="R183" s="30" t="n">
        <x:f>B183+C183+E183+F183+L183</x:f>
        <x:v>1188175</x:v>
      </x:c>
      <x:c r="S183" s="30" t="n">
        <x:f>(B183+E183)*J183</x:f>
        <x:v>732.5</x:v>
      </x:c>
      <x:c r="T183" s="30" t="n">
        <x:f>C183+E183+F183+L183</x:f>
        <x:v>438175</x:v>
      </x:c>
      <x:c r="U183" s="30" t="n">
        <x:f>E183</x:f>
        <x:v>348750</x:v>
      </x:c>
      <x:c r="V183" s="30" t="n">
        <x:f>C183</x:f>
        <x:v>1000</x:v>
      </x:c>
      <x:c r="W183" s="30" t="n">
        <x:f>F183</x:f>
        <x:v>22500</x:v>
      </x:c>
      <x:c r="X183" s="30" t="n">
        <x:f>L183</x:f>
        <x:v>65925</x:v>
      </x:c>
      <x:c r="Y183" s="30" t="n">
        <x:f>SUM(U183:X183)</x:f>
        <x:v>438175</x:v>
      </x:c>
    </x:row>
    <x:row r="184">
      <x:c r="A184" t="str">
        <x:v>Short Term Contract</x:v>
      </x:c>
      <x:c r="B184" s="30" t="n">
        <x:v>750000</x:v>
      </x:c>
      <x:c r="C184" s="30" t="n">
        <x:f>Inputs!$G$5</x:f>
        <x:v>1000</x:v>
      </x:c>
      <x:c r="D184" s="20" t="n">
        <x:f>Inputs!$G$4+VLOOKUP(M184,Inputs!$A$4:$B$7,2,FALSE)</x:f>
        <x:v>0.155</x:v>
      </x:c>
      <x:c r="E184" s="30" t="n">
        <x:f>B184*D184*N184/Inputs!$G$8</x:f>
        <x:v>348750</x:v>
      </x:c>
      <x:c r="F184" s="30" t="n">
        <x:f>B184*Inputs!$G$6</x:f>
        <x:v>22500</x:v>
      </x:c>
      <x:c r="G184" t="str">
        <x:v>120 Days</x:v>
      </x:c>
      <x:c r="H184" s="28" t="n">
        <x:v>120</x:v>
      </x:c>
      <x:c r="I184" s="52" t="n">
        <x:f>Inputs!$G$7</x:f>
        <x:v>0.02</x:v>
      </x:c>
      <x:c r="J184" s="52" t="n">
        <x:f>I184/30</x:f>
        <x:v>0.0006666666666666666</x:v>
      </x:c>
      <x:c r="K184" s="52" t="n">
        <x:f>J184*H184</x:f>
        <x:v>0.08</x:v>
      </x:c>
      <x:c r="L184" s="30" t="n">
        <x:f>(B184+E184)*K184</x:f>
        <x:v>87900</x:v>
      </x:c>
      <x:c r="M184" s="30" t="n">
        <x:f>E184</x:f>
        <x:v>348750</x:v>
      </x:c>
      <x:c r="N184" s="30">
        <x:f>R184-C184-F184</x:f>
      </x:c>
      <x:c r="O184" s="20" t="str">
        <x:f>IF(ABS(D184-(Inputs!$G$4+Inputs!$B$4))&lt;0.000001,"Low Risk",IF(ABS(D184-(Inputs!$G$4+Inputs!$B$5))&lt;0.000001,"Moderate Risk",IF(ABS(D184-(Inputs!$G$4+Inputs!$B$6))&lt;0.000001,"High Risk","Worst Scenario")))</x:f>
        <x:v>Low Risk</x:v>
      </x:c>
      <x:c r="P184" s="28" t="n">
        <x:f>IF(A184="Purchase Order Funding",Inputs!$G$13,IF(B184=500000,180,IF(B184=750000,365,1095)))</x:f>
        <x:v>365</x:v>
      </x:c>
      <x:c r="Q184" s="20" t="n">
        <x:f>D184</x:f>
        <x:v>0.155</x:v>
      </x:c>
      <x:c r="R184" s="30" t="n">
        <x:f>B184+C184+E184+F184+L184</x:f>
        <x:v>1210150</x:v>
      </x:c>
      <x:c r="S184" s="30" t="n">
        <x:f>(B184+E184)*J184</x:f>
        <x:v>732.5</x:v>
      </x:c>
      <x:c r="T184" s="30" t="n">
        <x:f>C184+E184+F184+L184</x:f>
        <x:v>460150</x:v>
      </x:c>
      <x:c r="U184" s="30" t="n">
        <x:f>E184</x:f>
        <x:v>348750</x:v>
      </x:c>
      <x:c r="V184" s="30" t="n">
        <x:f>C184</x:f>
        <x:v>1000</x:v>
      </x:c>
      <x:c r="W184" s="30" t="n">
        <x:f>F184</x:f>
        <x:v>22500</x:v>
      </x:c>
      <x:c r="X184" s="30" t="n">
        <x:f>L184</x:f>
        <x:v>87900</x:v>
      </x:c>
      <x:c r="Y184" s="30" t="n">
        <x:f>SUM(U184:X184)</x:f>
        <x:v>460150</x:v>
      </x:c>
    </x:row>
    <x:row r="185">
      <x:c r="A185" t="str">
        <x:v>Short Term Contract</x:v>
      </x:c>
      <x:c r="B185" s="30" t="n">
        <x:v>750000</x:v>
      </x:c>
      <x:c r="C185" s="30" t="n">
        <x:f>Inputs!$G$5</x:f>
        <x:v>1000</x:v>
      </x:c>
      <x:c r="D185" s="20" t="n">
        <x:f>Inputs!$G$4+VLOOKUP(M185,Inputs!$A$4:$B$7,2,FALSE)</x:f>
        <x:v>0.16999999999999998</x:v>
      </x:c>
      <x:c r="E185" s="30" t="n">
        <x:f>B185*D185*N185/Inputs!$G$8</x:f>
        <x:v>382499.99999999994</x:v>
      </x:c>
      <x:c r="F185" s="30" t="n">
        <x:f>B185*Inputs!$G$6</x:f>
        <x:v>22500</x:v>
      </x:c>
      <x:c r="G185" t="str">
        <x:v>30 Days</x:v>
      </x:c>
      <x:c r="H185" s="28" t="n">
        <x:v>30</x:v>
      </x:c>
      <x:c r="I185" s="52" t="n">
        <x:f>Inputs!$G$7</x:f>
        <x:v>0.02</x:v>
      </x:c>
      <x:c r="J185" s="52" t="n">
        <x:f>I185/30</x:f>
        <x:v>0.0006666666666666666</x:v>
      </x:c>
      <x:c r="K185" s="52" t="n">
        <x:f>J185*H185</x:f>
        <x:v>0.02</x:v>
      </x:c>
      <x:c r="L185" s="30" t="n">
        <x:f>(B185+E185)*K185</x:f>
        <x:v>22650</x:v>
      </x:c>
      <x:c r="M185" s="30" t="n">
        <x:f>E185</x:f>
        <x:v>382499.99999999994</x:v>
      </x:c>
      <x:c r="N185" s="30">
        <x:f>R185-C185-F185</x:f>
      </x:c>
      <x:c r="O185" s="20" t="str">
        <x:f>IF(ABS(D185-(Inputs!$G$4+Inputs!$B$4))&lt;0.000001,"Low Risk",IF(ABS(D185-(Inputs!$G$4+Inputs!$B$5))&lt;0.000001,"Moderate Risk",IF(ABS(D185-(Inputs!$G$4+Inputs!$B$6))&lt;0.000001,"High Risk","Worst Scenario")))</x:f>
        <x:v>Moderate Risk</x:v>
      </x:c>
      <x:c r="P185" s="28" t="n">
        <x:f>IF(A185="Purchase Order Funding",Inputs!$G$13,IF(B185=500000,180,IF(B185=750000,365,1095)))</x:f>
        <x:v>365</x:v>
      </x:c>
      <x:c r="Q185" s="20" t="n">
        <x:f>D185</x:f>
        <x:v>0.16999999999999998</x:v>
      </x:c>
      <x:c r="R185" s="30" t="n">
        <x:f>B185+C185+E185+F185+L185</x:f>
        <x:v>1178650</x:v>
      </x:c>
      <x:c r="S185" s="30" t="n">
        <x:f>(B185+E185)*J185</x:f>
        <x:v>755</x:v>
      </x:c>
      <x:c r="T185" s="30" t="n">
        <x:f>C185+E185+F185+L185</x:f>
        <x:v>428649.99999999994</x:v>
      </x:c>
      <x:c r="U185" s="30" t="n">
        <x:f>E185</x:f>
        <x:v>382499.99999999994</x:v>
      </x:c>
      <x:c r="V185" s="30" t="n">
        <x:f>C185</x:f>
        <x:v>1000</x:v>
      </x:c>
      <x:c r="W185" s="30" t="n">
        <x:f>F185</x:f>
        <x:v>22500</x:v>
      </x:c>
      <x:c r="X185" s="30" t="n">
        <x:f>L185</x:f>
        <x:v>22650</x:v>
      </x:c>
      <x:c r="Y185" s="30" t="n">
        <x:f>SUM(U185:X185)</x:f>
        <x:v>428649.99999999994</x:v>
      </x:c>
    </x:row>
    <x:row r="186">
      <x:c r="A186" t="str">
        <x:v>Short Term Contract</x:v>
      </x:c>
      <x:c r="B186" s="30" t="n">
        <x:v>750000</x:v>
      </x:c>
      <x:c r="C186" s="30" t="n">
        <x:f>Inputs!$G$5</x:f>
        <x:v>1000</x:v>
      </x:c>
      <x:c r="D186" s="20" t="n">
        <x:f>Inputs!$G$4+VLOOKUP(M186,Inputs!$A$4:$B$7,2,FALSE)</x:f>
        <x:v>0.16999999999999998</x:v>
      </x:c>
      <x:c r="E186" s="30" t="n">
        <x:f>B186*D186*N186/Inputs!$G$8</x:f>
        <x:v>382499.99999999994</x:v>
      </x:c>
      <x:c r="F186" s="30" t="n">
        <x:f>B186*Inputs!$G$6</x:f>
        <x:v>22500</x:v>
      </x:c>
      <x:c r="G186" t="str">
        <x:v>60 Days</x:v>
      </x:c>
      <x:c r="H186" s="28" t="n">
        <x:v>60</x:v>
      </x:c>
      <x:c r="I186" s="52" t="n">
        <x:f>Inputs!$G$7</x:f>
        <x:v>0.02</x:v>
      </x:c>
      <x:c r="J186" s="52" t="n">
        <x:f>I186/30</x:f>
        <x:v>0.0006666666666666666</x:v>
      </x:c>
      <x:c r="K186" s="52" t="n">
        <x:f>J186*H186</x:f>
        <x:v>0.04</x:v>
      </x:c>
      <x:c r="L186" s="30" t="n">
        <x:f>(B186+E186)*K186</x:f>
        <x:v>45300</x:v>
      </x:c>
      <x:c r="M186" s="30" t="n">
        <x:f>E186</x:f>
        <x:v>382499.99999999994</x:v>
      </x:c>
      <x:c r="N186" s="30">
        <x:f>R186-C186-F186</x:f>
      </x:c>
      <x:c r="O186" s="20" t="str">
        <x:f>IF(ABS(D186-(Inputs!$G$4+Inputs!$B$4))&lt;0.000001,"Low Risk",IF(ABS(D186-(Inputs!$G$4+Inputs!$B$5))&lt;0.000001,"Moderate Risk",IF(ABS(D186-(Inputs!$G$4+Inputs!$B$6))&lt;0.000001,"High Risk","Worst Scenario")))</x:f>
        <x:v>Moderate Risk</x:v>
      </x:c>
      <x:c r="P186" s="28" t="n">
        <x:f>IF(A186="Purchase Order Funding",Inputs!$G$13,IF(B186=500000,180,IF(B186=750000,365,1095)))</x:f>
        <x:v>365</x:v>
      </x:c>
      <x:c r="Q186" s="20" t="n">
        <x:f>D186</x:f>
        <x:v>0.16999999999999998</x:v>
      </x:c>
      <x:c r="R186" s="30" t="n">
        <x:f>B186+C186+E186+F186+L186</x:f>
        <x:v>1201300</x:v>
      </x:c>
      <x:c r="S186" s="30" t="n">
        <x:f>(B186+E186)*J186</x:f>
        <x:v>755</x:v>
      </x:c>
      <x:c r="T186" s="30" t="n">
        <x:f>C186+E186+F186+L186</x:f>
        <x:v>451299.99999999994</x:v>
      </x:c>
      <x:c r="U186" s="30" t="n">
        <x:f>E186</x:f>
        <x:v>382499.99999999994</x:v>
      </x:c>
      <x:c r="V186" s="30" t="n">
        <x:f>C186</x:f>
        <x:v>1000</x:v>
      </x:c>
      <x:c r="W186" s="30" t="n">
        <x:f>F186</x:f>
        <x:v>22500</x:v>
      </x:c>
      <x:c r="X186" s="30" t="n">
        <x:f>L186</x:f>
        <x:v>45300</x:v>
      </x:c>
      <x:c r="Y186" s="30" t="n">
        <x:f>SUM(U186:X186)</x:f>
        <x:v>451299.99999999994</x:v>
      </x:c>
    </x:row>
    <x:row r="187">
      <x:c r="A187" t="str">
        <x:v>Short Term Contract</x:v>
      </x:c>
      <x:c r="B187" s="30" t="n">
        <x:v>750000</x:v>
      </x:c>
      <x:c r="C187" s="30" t="n">
        <x:f>Inputs!$G$5</x:f>
        <x:v>1000</x:v>
      </x:c>
      <x:c r="D187" s="20" t="n">
        <x:f>Inputs!$G$4+VLOOKUP(M187,Inputs!$A$4:$B$7,2,FALSE)</x:f>
        <x:v>0.16999999999999998</x:v>
      </x:c>
      <x:c r="E187" s="30" t="n">
        <x:f>B187*D187*N187/Inputs!$G$8</x:f>
        <x:v>382499.99999999994</x:v>
      </x:c>
      <x:c r="F187" s="30" t="n">
        <x:f>B187*Inputs!$G$6</x:f>
        <x:v>22500</x:v>
      </x:c>
      <x:c r="G187" t="str">
        <x:v>90 Days</x:v>
      </x:c>
      <x:c r="H187" s="28" t="n">
        <x:v>90</x:v>
      </x:c>
      <x:c r="I187" s="52" t="n">
        <x:f>Inputs!$G$7</x:f>
        <x:v>0.02</x:v>
      </x:c>
      <x:c r="J187" s="52" t="n">
        <x:f>I187/30</x:f>
        <x:v>0.0006666666666666666</x:v>
      </x:c>
      <x:c r="K187" s="52" t="n">
        <x:f>J187*H187</x:f>
        <x:v>0.06</x:v>
      </x:c>
      <x:c r="L187" s="30" t="n">
        <x:f>(B187+E187)*K187</x:f>
        <x:v>67950</x:v>
      </x:c>
      <x:c r="M187" s="30" t="n">
        <x:f>E187</x:f>
        <x:v>382499.99999999994</x:v>
      </x:c>
      <x:c r="N187" s="30">
        <x:f>R187-C187-F187</x:f>
      </x:c>
      <x:c r="O187" s="20" t="str">
        <x:f>IF(ABS(D187-(Inputs!$G$4+Inputs!$B$4))&lt;0.000001,"Low Risk",IF(ABS(D187-(Inputs!$G$4+Inputs!$B$5))&lt;0.000001,"Moderate Risk",IF(ABS(D187-(Inputs!$G$4+Inputs!$B$6))&lt;0.000001,"High Risk","Worst Scenario")))</x:f>
        <x:v>Moderate Risk</x:v>
      </x:c>
      <x:c r="P187" s="28" t="n">
        <x:f>IF(A187="Purchase Order Funding",Inputs!$G$13,IF(B187=500000,180,IF(B187=750000,365,1095)))</x:f>
        <x:v>365</x:v>
      </x:c>
      <x:c r="Q187" s="20" t="n">
        <x:f>D187</x:f>
        <x:v>0.16999999999999998</x:v>
      </x:c>
      <x:c r="R187" s="30" t="n">
        <x:f>B187+C187+E187+F187+L187</x:f>
        <x:v>1223950</x:v>
      </x:c>
      <x:c r="S187" s="30" t="n">
        <x:f>(B187+E187)*J187</x:f>
        <x:v>755</x:v>
      </x:c>
      <x:c r="T187" s="30" t="n">
        <x:f>C187+E187+F187+L187</x:f>
        <x:v>473949.99999999994</x:v>
      </x:c>
      <x:c r="U187" s="30" t="n">
        <x:f>E187</x:f>
        <x:v>382499.99999999994</x:v>
      </x:c>
      <x:c r="V187" s="30" t="n">
        <x:f>C187</x:f>
        <x:v>1000</x:v>
      </x:c>
      <x:c r="W187" s="30" t="n">
        <x:f>F187</x:f>
        <x:v>22500</x:v>
      </x:c>
      <x:c r="X187" s="30" t="n">
        <x:f>L187</x:f>
        <x:v>67950</x:v>
      </x:c>
      <x:c r="Y187" s="30" t="n">
        <x:f>SUM(U187:X187)</x:f>
        <x:v>473949.99999999994</x:v>
      </x:c>
    </x:row>
    <x:row r="188">
      <x:c r="A188" t="str">
        <x:v>Short Term Contract</x:v>
      </x:c>
      <x:c r="B188" s="30" t="n">
        <x:v>750000</x:v>
      </x:c>
      <x:c r="C188" s="30" t="n">
        <x:f>Inputs!$G$5</x:f>
        <x:v>1000</x:v>
      </x:c>
      <x:c r="D188" s="20" t="n">
        <x:f>Inputs!$G$4+VLOOKUP(M188,Inputs!$A$4:$B$7,2,FALSE)</x:f>
        <x:v>0.16999999999999998</x:v>
      </x:c>
      <x:c r="E188" s="30" t="n">
        <x:f>B188*D188*N188/Inputs!$G$8</x:f>
        <x:v>382499.99999999994</x:v>
      </x:c>
      <x:c r="F188" s="30" t="n">
        <x:f>B188*Inputs!$G$6</x:f>
        <x:v>22500</x:v>
      </x:c>
      <x:c r="G188" t="str">
        <x:v>120 Days</x:v>
      </x:c>
      <x:c r="H188" s="28" t="n">
        <x:v>120</x:v>
      </x:c>
      <x:c r="I188" s="52" t="n">
        <x:f>Inputs!$G$7</x:f>
        <x:v>0.02</x:v>
      </x:c>
      <x:c r="J188" s="52" t="n">
        <x:f>I188/30</x:f>
        <x:v>0.0006666666666666666</x:v>
      </x:c>
      <x:c r="K188" s="52" t="n">
        <x:f>J188*H188</x:f>
        <x:v>0.08</x:v>
      </x:c>
      <x:c r="L188" s="30" t="n">
        <x:f>(B188+E188)*K188</x:f>
        <x:v>90600</x:v>
      </x:c>
      <x:c r="M188" s="30" t="n">
        <x:f>E188</x:f>
        <x:v>382499.99999999994</x:v>
      </x:c>
      <x:c r="N188" s="30">
        <x:f>R188-C188-F188</x:f>
      </x:c>
      <x:c r="O188" s="20" t="str">
        <x:f>IF(ABS(D188-(Inputs!$G$4+Inputs!$B$4))&lt;0.000001,"Low Risk",IF(ABS(D188-(Inputs!$G$4+Inputs!$B$5))&lt;0.000001,"Moderate Risk",IF(ABS(D188-(Inputs!$G$4+Inputs!$B$6))&lt;0.000001,"High Risk","Worst Scenario")))</x:f>
        <x:v>Moderate Risk</x:v>
      </x:c>
      <x:c r="P188" s="28" t="n">
        <x:f>IF(A188="Purchase Order Funding",Inputs!$G$13,IF(B188=500000,180,IF(B188=750000,365,1095)))</x:f>
        <x:v>365</x:v>
      </x:c>
      <x:c r="Q188" s="20" t="n">
        <x:f>D188</x:f>
        <x:v>0.16999999999999998</x:v>
      </x:c>
      <x:c r="R188" s="30" t="n">
        <x:f>B188+C188+E188+F188+L188</x:f>
        <x:v>1246600</x:v>
      </x:c>
      <x:c r="S188" s="30" t="n">
        <x:f>(B188+E188)*J188</x:f>
        <x:v>755</x:v>
      </x:c>
      <x:c r="T188" s="30" t="n">
        <x:f>C188+E188+F188+L188</x:f>
        <x:v>496599.99999999994</x:v>
      </x:c>
      <x:c r="U188" s="30" t="n">
        <x:f>E188</x:f>
        <x:v>382499.99999999994</x:v>
      </x:c>
      <x:c r="V188" s="30" t="n">
        <x:f>C188</x:f>
        <x:v>1000</x:v>
      </x:c>
      <x:c r="W188" s="30" t="n">
        <x:f>F188</x:f>
        <x:v>22500</x:v>
      </x:c>
      <x:c r="X188" s="30" t="n">
        <x:f>L188</x:f>
        <x:v>90600</x:v>
      </x:c>
      <x:c r="Y188" s="30" t="n">
        <x:f>SUM(U188:X188)</x:f>
        <x:v>496599.99999999994</x:v>
      </x:c>
    </x:row>
    <x:row r="189">
      <x:c r="A189" t="str">
        <x:v>Short Term Contract</x:v>
      </x:c>
      <x:c r="B189" s="30" t="n">
        <x:v>750000</x:v>
      </x:c>
      <x:c r="C189" s="30" t="n">
        <x:f>Inputs!$G$5</x:f>
        <x:v>1000</x:v>
      </x:c>
      <x:c r="D189" s="20" t="n">
        <x:f>Inputs!$G$4+VLOOKUP(M189,Inputs!$A$4:$B$7,2,FALSE)</x:f>
        <x:v>0.19</x:v>
      </x:c>
      <x:c r="E189" s="30" t="n">
        <x:f>B189*D189*N189/Inputs!$G$8</x:f>
        <x:v>427500</x:v>
      </x:c>
      <x:c r="F189" s="30" t="n">
        <x:f>B189*Inputs!$G$6</x:f>
        <x:v>22500</x:v>
      </x:c>
      <x:c r="G189" t="str">
        <x:v>30 Days</x:v>
      </x:c>
      <x:c r="H189" s="28" t="n">
        <x:v>30</x:v>
      </x:c>
      <x:c r="I189" s="52" t="n">
        <x:f>Inputs!$G$7</x:f>
        <x:v>0.02</x:v>
      </x:c>
      <x:c r="J189" s="52" t="n">
        <x:f>I189/30</x:f>
        <x:v>0.0006666666666666666</x:v>
      </x:c>
      <x:c r="K189" s="52" t="n">
        <x:f>J189*H189</x:f>
        <x:v>0.02</x:v>
      </x:c>
      <x:c r="L189" s="30" t="n">
        <x:f>(B189+E189)*K189</x:f>
        <x:v>23550</x:v>
      </x:c>
      <x:c r="M189" s="30" t="n">
        <x:f>E189</x:f>
        <x:v>427500</x:v>
      </x:c>
      <x:c r="N189" s="30">
        <x:f>R189-C189-F189</x:f>
      </x:c>
      <x:c r="O189" s="20" t="str">
        <x:f>IF(ABS(D189-(Inputs!$G$4+Inputs!$B$4))&lt;0.000001,"Low Risk",IF(ABS(D189-(Inputs!$G$4+Inputs!$B$5))&lt;0.000001,"Moderate Risk",IF(ABS(D189-(Inputs!$G$4+Inputs!$B$6))&lt;0.000001,"High Risk","Worst Scenario")))</x:f>
        <x:v>High Risk</x:v>
      </x:c>
      <x:c r="P189" s="28" t="n">
        <x:f>IF(A189="Purchase Order Funding",Inputs!$G$13,IF(B189=500000,180,IF(B189=750000,365,1095)))</x:f>
        <x:v>365</x:v>
      </x:c>
      <x:c r="Q189" s="20" t="n">
        <x:f>D189</x:f>
        <x:v>0.19</x:v>
      </x:c>
      <x:c r="R189" s="30" t="n">
        <x:f>B189+C189+E189+F189+L189</x:f>
        <x:v>1224550</x:v>
      </x:c>
      <x:c r="S189" s="30" t="n">
        <x:f>(B189+E189)*J189</x:f>
        <x:v>785</x:v>
      </x:c>
      <x:c r="T189" s="30" t="n">
        <x:f>C189+E189+F189+L189</x:f>
        <x:v>474550</x:v>
      </x:c>
      <x:c r="U189" s="30" t="n">
        <x:f>E189</x:f>
        <x:v>427500</x:v>
      </x:c>
      <x:c r="V189" s="30" t="n">
        <x:f>C189</x:f>
        <x:v>1000</x:v>
      </x:c>
      <x:c r="W189" s="30" t="n">
        <x:f>F189</x:f>
        <x:v>22500</x:v>
      </x:c>
      <x:c r="X189" s="30" t="n">
        <x:f>L189</x:f>
        <x:v>23550</x:v>
      </x:c>
      <x:c r="Y189" s="30" t="n">
        <x:f>SUM(U189:X189)</x:f>
        <x:v>474550</x:v>
      </x:c>
    </x:row>
    <x:row r="190">
      <x:c r="A190" t="str">
        <x:v>Short Term Contract</x:v>
      </x:c>
      <x:c r="B190" s="30" t="n">
        <x:v>750000</x:v>
      </x:c>
      <x:c r="C190" s="30" t="n">
        <x:f>Inputs!$G$5</x:f>
        <x:v>1000</x:v>
      </x:c>
      <x:c r="D190" s="20" t="n">
        <x:f>Inputs!$G$4+VLOOKUP(M190,Inputs!$A$4:$B$7,2,FALSE)</x:f>
        <x:v>0.19</x:v>
      </x:c>
      <x:c r="E190" s="30" t="n">
        <x:f>B190*D190*N190/Inputs!$G$8</x:f>
        <x:v>427500</x:v>
      </x:c>
      <x:c r="F190" s="30" t="n">
        <x:f>B190*Inputs!$G$6</x:f>
        <x:v>22500</x:v>
      </x:c>
      <x:c r="G190" t="str">
        <x:v>60 Days</x:v>
      </x:c>
      <x:c r="H190" s="28" t="n">
        <x:v>60</x:v>
      </x:c>
      <x:c r="I190" s="52" t="n">
        <x:f>Inputs!$G$7</x:f>
        <x:v>0.02</x:v>
      </x:c>
      <x:c r="J190" s="52" t="n">
        <x:f>I190/30</x:f>
        <x:v>0.0006666666666666666</x:v>
      </x:c>
      <x:c r="K190" s="52" t="n">
        <x:f>J190*H190</x:f>
        <x:v>0.04</x:v>
      </x:c>
      <x:c r="L190" s="30" t="n">
        <x:f>(B190+E190)*K190</x:f>
        <x:v>47100</x:v>
      </x:c>
      <x:c r="M190" s="30" t="n">
        <x:f>E190</x:f>
        <x:v>427500</x:v>
      </x:c>
      <x:c r="N190" s="30">
        <x:f>R190-C190-F190</x:f>
      </x:c>
      <x:c r="O190" s="20" t="str">
        <x:f>IF(ABS(D190-(Inputs!$G$4+Inputs!$B$4))&lt;0.000001,"Low Risk",IF(ABS(D190-(Inputs!$G$4+Inputs!$B$5))&lt;0.000001,"Moderate Risk",IF(ABS(D190-(Inputs!$G$4+Inputs!$B$6))&lt;0.000001,"High Risk","Worst Scenario")))</x:f>
        <x:v>High Risk</x:v>
      </x:c>
      <x:c r="P190" s="28" t="n">
        <x:f>IF(A190="Purchase Order Funding",Inputs!$G$13,IF(B190=500000,180,IF(B190=750000,365,1095)))</x:f>
        <x:v>365</x:v>
      </x:c>
      <x:c r="Q190" s="20" t="n">
        <x:f>D190</x:f>
        <x:v>0.19</x:v>
      </x:c>
      <x:c r="R190" s="30" t="n">
        <x:f>B190+C190+E190+F190+L190</x:f>
        <x:v>1248100</x:v>
      </x:c>
      <x:c r="S190" s="30" t="n">
        <x:f>(B190+E190)*J190</x:f>
        <x:v>785</x:v>
      </x:c>
      <x:c r="T190" s="30" t="n">
        <x:f>C190+E190+F190+L190</x:f>
        <x:v>498100</x:v>
      </x:c>
      <x:c r="U190" s="30" t="n">
        <x:f>E190</x:f>
        <x:v>427500</x:v>
      </x:c>
      <x:c r="V190" s="30" t="n">
        <x:f>C190</x:f>
        <x:v>1000</x:v>
      </x:c>
      <x:c r="W190" s="30" t="n">
        <x:f>F190</x:f>
        <x:v>22500</x:v>
      </x:c>
      <x:c r="X190" s="30" t="n">
        <x:f>L190</x:f>
        <x:v>47100</x:v>
      </x:c>
      <x:c r="Y190" s="30" t="n">
        <x:f>SUM(U190:X190)</x:f>
        <x:v>498100</x:v>
      </x:c>
    </x:row>
    <x:row r="191">
      <x:c r="A191" t="str">
        <x:v>Short Term Contract</x:v>
      </x:c>
      <x:c r="B191" s="30" t="n">
        <x:v>750000</x:v>
      </x:c>
      <x:c r="C191" s="30" t="n">
        <x:f>Inputs!$G$5</x:f>
        <x:v>1000</x:v>
      </x:c>
      <x:c r="D191" s="20" t="n">
        <x:f>Inputs!$G$4+VLOOKUP(M191,Inputs!$A$4:$B$7,2,FALSE)</x:f>
        <x:v>0.19</x:v>
      </x:c>
      <x:c r="E191" s="30" t="n">
        <x:f>B191*D191*N191/Inputs!$G$8</x:f>
        <x:v>427500</x:v>
      </x:c>
      <x:c r="F191" s="30" t="n">
        <x:f>B191*Inputs!$G$6</x:f>
        <x:v>22500</x:v>
      </x:c>
      <x:c r="G191" t="str">
        <x:v>90 Days</x:v>
      </x:c>
      <x:c r="H191" s="28" t="n">
        <x:v>90</x:v>
      </x:c>
      <x:c r="I191" s="52" t="n">
        <x:f>Inputs!$G$7</x:f>
        <x:v>0.02</x:v>
      </x:c>
      <x:c r="J191" s="52" t="n">
        <x:f>I191/30</x:f>
        <x:v>0.0006666666666666666</x:v>
      </x:c>
      <x:c r="K191" s="52" t="n">
        <x:f>J191*H191</x:f>
        <x:v>0.06</x:v>
      </x:c>
      <x:c r="L191" s="30" t="n">
        <x:f>(B191+E191)*K191</x:f>
        <x:v>70650</x:v>
      </x:c>
      <x:c r="M191" s="30" t="n">
        <x:f>E191</x:f>
        <x:v>427500</x:v>
      </x:c>
      <x:c r="N191" s="30">
        <x:f>R191-C191-F191</x:f>
      </x:c>
      <x:c r="O191" s="20" t="str">
        <x:f>IF(ABS(D191-(Inputs!$G$4+Inputs!$B$4))&lt;0.000001,"Low Risk",IF(ABS(D191-(Inputs!$G$4+Inputs!$B$5))&lt;0.000001,"Moderate Risk",IF(ABS(D191-(Inputs!$G$4+Inputs!$B$6))&lt;0.000001,"High Risk","Worst Scenario")))</x:f>
        <x:v>High Risk</x:v>
      </x:c>
      <x:c r="P191" s="28" t="n">
        <x:f>IF(A191="Purchase Order Funding",Inputs!$G$13,IF(B191=500000,180,IF(B191=750000,365,1095)))</x:f>
        <x:v>365</x:v>
      </x:c>
      <x:c r="Q191" s="20" t="n">
        <x:f>D191</x:f>
        <x:v>0.19</x:v>
      </x:c>
      <x:c r="R191" s="30" t="n">
        <x:f>B191+C191+E191+F191+L191</x:f>
        <x:v>1271650</x:v>
      </x:c>
      <x:c r="S191" s="30" t="n">
        <x:f>(B191+E191)*J191</x:f>
        <x:v>785</x:v>
      </x:c>
      <x:c r="T191" s="30" t="n">
        <x:f>C191+E191+F191+L191</x:f>
        <x:v>521650</x:v>
      </x:c>
      <x:c r="U191" s="30" t="n">
        <x:f>E191</x:f>
        <x:v>427500</x:v>
      </x:c>
      <x:c r="V191" s="30" t="n">
        <x:f>C191</x:f>
        <x:v>1000</x:v>
      </x:c>
      <x:c r="W191" s="30" t="n">
        <x:f>F191</x:f>
        <x:v>22500</x:v>
      </x:c>
      <x:c r="X191" s="30" t="n">
        <x:f>L191</x:f>
        <x:v>70650</x:v>
      </x:c>
      <x:c r="Y191" s="30" t="n">
        <x:f>SUM(U191:X191)</x:f>
        <x:v>521650</x:v>
      </x:c>
    </x:row>
    <x:row r="192">
      <x:c r="A192" t="str">
        <x:v>Short Term Contract</x:v>
      </x:c>
      <x:c r="B192" s="30" t="n">
        <x:v>750000</x:v>
      </x:c>
      <x:c r="C192" s="30" t="n">
        <x:f>Inputs!$G$5</x:f>
        <x:v>1000</x:v>
      </x:c>
      <x:c r="D192" s="20" t="n">
        <x:f>Inputs!$G$4+VLOOKUP(M192,Inputs!$A$4:$B$7,2,FALSE)</x:f>
        <x:v>0.19</x:v>
      </x:c>
      <x:c r="E192" s="30" t="n">
        <x:f>B192*D192*N192/Inputs!$G$8</x:f>
        <x:v>427500</x:v>
      </x:c>
      <x:c r="F192" s="30" t="n">
        <x:f>B192*Inputs!$G$6</x:f>
        <x:v>22500</x:v>
      </x:c>
      <x:c r="G192" t="str">
        <x:v>120 Days</x:v>
      </x:c>
      <x:c r="H192" s="28" t="n">
        <x:v>120</x:v>
      </x:c>
      <x:c r="I192" s="52" t="n">
        <x:f>Inputs!$G$7</x:f>
        <x:v>0.02</x:v>
      </x:c>
      <x:c r="J192" s="52" t="n">
        <x:f>I192/30</x:f>
        <x:v>0.0006666666666666666</x:v>
      </x:c>
      <x:c r="K192" s="52" t="n">
        <x:f>J192*H192</x:f>
        <x:v>0.08</x:v>
      </x:c>
      <x:c r="L192" s="30" t="n">
        <x:f>(B192+E192)*K192</x:f>
        <x:v>94200</x:v>
      </x:c>
      <x:c r="M192" s="30" t="n">
        <x:f>E192</x:f>
        <x:v>427500</x:v>
      </x:c>
      <x:c r="N192" s="30">
        <x:f>R192-C192-F192</x:f>
      </x:c>
      <x:c r="O192" s="20" t="str">
        <x:f>IF(ABS(D192-(Inputs!$G$4+Inputs!$B$4))&lt;0.000001,"Low Risk",IF(ABS(D192-(Inputs!$G$4+Inputs!$B$5))&lt;0.000001,"Moderate Risk",IF(ABS(D192-(Inputs!$G$4+Inputs!$B$6))&lt;0.000001,"High Risk","Worst Scenario")))</x:f>
        <x:v>High Risk</x:v>
      </x:c>
      <x:c r="P192" s="28" t="n">
        <x:f>IF(A192="Purchase Order Funding",Inputs!$G$13,IF(B192=500000,180,IF(B192=750000,365,1095)))</x:f>
        <x:v>365</x:v>
      </x:c>
      <x:c r="Q192" s="20" t="n">
        <x:f>D192</x:f>
        <x:v>0.19</x:v>
      </x:c>
      <x:c r="R192" s="30" t="n">
        <x:f>B192+C192+E192+F192+L192</x:f>
        <x:v>1295200</x:v>
      </x:c>
      <x:c r="S192" s="30" t="n">
        <x:f>(B192+E192)*J192</x:f>
        <x:v>785</x:v>
      </x:c>
      <x:c r="T192" s="30" t="n">
        <x:f>C192+E192+F192+L192</x:f>
        <x:v>545200</x:v>
      </x:c>
      <x:c r="U192" s="30" t="n">
        <x:f>E192</x:f>
        <x:v>427500</x:v>
      </x:c>
      <x:c r="V192" s="30" t="n">
        <x:f>C192</x:f>
        <x:v>1000</x:v>
      </x:c>
      <x:c r="W192" s="30" t="n">
        <x:f>F192</x:f>
        <x:v>22500</x:v>
      </x:c>
      <x:c r="X192" s="30" t="n">
        <x:f>L192</x:f>
        <x:v>94200</x:v>
      </x:c>
      <x:c r="Y192" s="30" t="n">
        <x:f>SUM(U192:X192)</x:f>
        <x:v>545200</x:v>
      </x:c>
    </x:row>
    <x:row r="193">
      <x:c r="A193" t="str">
        <x:v>Short Term Contract</x:v>
      </x:c>
      <x:c r="B193" s="30" t="n">
        <x:v>750000</x:v>
      </x:c>
      <x:c r="C193" s="30" t="n">
        <x:f>Inputs!$G$5</x:f>
        <x:v>1000</x:v>
      </x:c>
      <x:c r="D193" s="20" t="n">
        <x:f>Inputs!$G$4+VLOOKUP(M193,Inputs!$A$4:$B$7,2,FALSE)</x:f>
        <x:v>0.21</x:v>
      </x:c>
      <x:c r="E193" s="30" t="n">
        <x:f>B193*D193*N193/Inputs!$G$8</x:f>
        <x:v>472500</x:v>
      </x:c>
      <x:c r="F193" s="30" t="n">
        <x:f>B193*Inputs!$G$6</x:f>
        <x:v>22500</x:v>
      </x:c>
      <x:c r="G193" t="str">
        <x:v>30 Days</x:v>
      </x:c>
      <x:c r="H193" s="28" t="n">
        <x:v>30</x:v>
      </x:c>
      <x:c r="I193" s="52" t="n">
        <x:f>Inputs!$G$7</x:f>
        <x:v>0.02</x:v>
      </x:c>
      <x:c r="J193" s="52" t="n">
        <x:f>I193/30</x:f>
        <x:v>0.0006666666666666666</x:v>
      </x:c>
      <x:c r="K193" s="52" t="n">
        <x:f>J193*H193</x:f>
        <x:v>0.02</x:v>
      </x:c>
      <x:c r="L193" s="30" t="n">
        <x:f>(B193+E193)*K193</x:f>
        <x:v>24450</x:v>
      </x:c>
      <x:c r="M193" s="30" t="n">
        <x:f>E193</x:f>
        <x:v>472500</x:v>
      </x:c>
      <x:c r="N193" s="30">
        <x:f>R193-C193-F193</x:f>
      </x:c>
      <x:c r="O193" s="20" t="str">
        <x:f>IF(ABS(D193-(Inputs!$G$4+Inputs!$B$4))&lt;0.000001,"Low Risk",IF(ABS(D193-(Inputs!$G$4+Inputs!$B$5))&lt;0.000001,"Moderate Risk",IF(ABS(D193-(Inputs!$G$4+Inputs!$B$6))&lt;0.000001,"High Risk","Worst Scenario")))</x:f>
        <x:v>Worst Scenario</x:v>
      </x:c>
      <x:c r="P193" s="28" t="n">
        <x:f>IF(A193="Purchase Order Funding",Inputs!$G$13,IF(B193=500000,180,IF(B193=750000,365,1095)))</x:f>
        <x:v>365</x:v>
      </x:c>
      <x:c r="Q193" s="20" t="n">
        <x:f>D193</x:f>
        <x:v>0.21</x:v>
      </x:c>
      <x:c r="R193" s="30" t="n">
        <x:f>B193+C193+E193+F193+L193</x:f>
        <x:v>1270450</x:v>
      </x:c>
      <x:c r="S193" s="30" t="n">
        <x:f>(B193+E193)*J193</x:f>
        <x:v>815</x:v>
      </x:c>
      <x:c r="T193" s="30" t="n">
        <x:f>C193+E193+F193+L193</x:f>
        <x:v>520450</x:v>
      </x:c>
      <x:c r="U193" s="30" t="n">
        <x:f>E193</x:f>
        <x:v>472500</x:v>
      </x:c>
      <x:c r="V193" s="30" t="n">
        <x:f>C193</x:f>
        <x:v>1000</x:v>
      </x:c>
      <x:c r="W193" s="30" t="n">
        <x:f>F193</x:f>
        <x:v>22500</x:v>
      </x:c>
      <x:c r="X193" s="30" t="n">
        <x:f>L193</x:f>
        <x:v>24450</x:v>
      </x:c>
      <x:c r="Y193" s="30" t="n">
        <x:f>SUM(U193:X193)</x:f>
        <x:v>520450</x:v>
      </x:c>
    </x:row>
    <x:row r="194">
      <x:c r="A194" t="str">
        <x:v>Short Term Contract</x:v>
      </x:c>
      <x:c r="B194" s="30" t="n">
        <x:v>750000</x:v>
      </x:c>
      <x:c r="C194" s="30" t="n">
        <x:f>Inputs!$G$5</x:f>
        <x:v>1000</x:v>
      </x:c>
      <x:c r="D194" s="20" t="n">
        <x:f>Inputs!$G$4+VLOOKUP(M194,Inputs!$A$4:$B$7,2,FALSE)</x:f>
        <x:v>0.21</x:v>
      </x:c>
      <x:c r="E194" s="30" t="n">
        <x:f>B194*D194*N194/Inputs!$G$8</x:f>
        <x:v>472500</x:v>
      </x:c>
      <x:c r="F194" s="30" t="n">
        <x:f>B194*Inputs!$G$6</x:f>
        <x:v>22500</x:v>
      </x:c>
      <x:c r="G194" t="str">
        <x:v>60 Days</x:v>
      </x:c>
      <x:c r="H194" s="28" t="n">
        <x:v>60</x:v>
      </x:c>
      <x:c r="I194" s="52" t="n">
        <x:f>Inputs!$G$7</x:f>
        <x:v>0.02</x:v>
      </x:c>
      <x:c r="J194" s="52" t="n">
        <x:f>I194/30</x:f>
        <x:v>0.0006666666666666666</x:v>
      </x:c>
      <x:c r="K194" s="52" t="n">
        <x:f>J194*H194</x:f>
        <x:v>0.04</x:v>
      </x:c>
      <x:c r="L194" s="30" t="n">
        <x:f>(B194+E194)*K194</x:f>
        <x:v>48900</x:v>
      </x:c>
      <x:c r="M194" s="30" t="n">
        <x:f>E194</x:f>
        <x:v>472500</x:v>
      </x:c>
      <x:c r="N194" s="30">
        <x:f>R194-C194-F194</x:f>
      </x:c>
      <x:c r="O194" s="20" t="str">
        <x:f>IF(ABS(D194-(Inputs!$G$4+Inputs!$B$4))&lt;0.000001,"Low Risk",IF(ABS(D194-(Inputs!$G$4+Inputs!$B$5))&lt;0.000001,"Moderate Risk",IF(ABS(D194-(Inputs!$G$4+Inputs!$B$6))&lt;0.000001,"High Risk","Worst Scenario")))</x:f>
        <x:v>Worst Scenario</x:v>
      </x:c>
      <x:c r="P194" s="28" t="n">
        <x:f>IF(A194="Purchase Order Funding",Inputs!$G$13,IF(B194=500000,180,IF(B194=750000,365,1095)))</x:f>
        <x:v>365</x:v>
      </x:c>
      <x:c r="Q194" s="20" t="n">
        <x:f>D194</x:f>
        <x:v>0.21</x:v>
      </x:c>
      <x:c r="R194" s="30" t="n">
        <x:f>B194+C194+E194+F194+L194</x:f>
        <x:v>1294900</x:v>
      </x:c>
      <x:c r="S194" s="30" t="n">
        <x:f>(B194+E194)*J194</x:f>
        <x:v>815</x:v>
      </x:c>
      <x:c r="T194" s="30" t="n">
        <x:f>C194+E194+F194+L194</x:f>
        <x:v>544900</x:v>
      </x:c>
      <x:c r="U194" s="30" t="n">
        <x:f>E194</x:f>
        <x:v>472500</x:v>
      </x:c>
      <x:c r="V194" s="30" t="n">
        <x:f>C194</x:f>
        <x:v>1000</x:v>
      </x:c>
      <x:c r="W194" s="30" t="n">
        <x:f>F194</x:f>
        <x:v>22500</x:v>
      </x:c>
      <x:c r="X194" s="30" t="n">
        <x:f>L194</x:f>
        <x:v>48900</x:v>
      </x:c>
      <x:c r="Y194" s="30" t="n">
        <x:f>SUM(U194:X194)</x:f>
        <x:v>544900</x:v>
      </x:c>
    </x:row>
    <x:row r="195">
      <x:c r="A195" t="str">
        <x:v>Short Term Contract</x:v>
      </x:c>
      <x:c r="B195" s="30" t="n">
        <x:v>750000</x:v>
      </x:c>
      <x:c r="C195" s="30" t="n">
        <x:f>Inputs!$G$5</x:f>
        <x:v>1000</x:v>
      </x:c>
      <x:c r="D195" s="20" t="n">
        <x:f>Inputs!$G$4+VLOOKUP(M195,Inputs!$A$4:$B$7,2,FALSE)</x:f>
        <x:v>0.21</x:v>
      </x:c>
      <x:c r="E195" s="30" t="n">
        <x:f>B195*D195*N195/Inputs!$G$8</x:f>
        <x:v>472500</x:v>
      </x:c>
      <x:c r="F195" s="30" t="n">
        <x:f>B195*Inputs!$G$6</x:f>
        <x:v>22500</x:v>
      </x:c>
      <x:c r="G195" t="str">
        <x:v>90 Days</x:v>
      </x:c>
      <x:c r="H195" s="28" t="n">
        <x:v>90</x:v>
      </x:c>
      <x:c r="I195" s="52" t="n">
        <x:f>Inputs!$G$7</x:f>
        <x:v>0.02</x:v>
      </x:c>
      <x:c r="J195" s="52" t="n">
        <x:f>I195/30</x:f>
        <x:v>0.0006666666666666666</x:v>
      </x:c>
      <x:c r="K195" s="52" t="n">
        <x:f>J195*H195</x:f>
        <x:v>0.06</x:v>
      </x:c>
      <x:c r="L195" s="30" t="n">
        <x:f>(B195+E195)*K195</x:f>
        <x:v>73350</x:v>
      </x:c>
      <x:c r="M195" s="30" t="n">
        <x:f>E195</x:f>
        <x:v>472500</x:v>
      </x:c>
      <x:c r="N195" s="30">
        <x:f>R195-C195-F195</x:f>
      </x:c>
      <x:c r="O195" s="20" t="str">
        <x:f>IF(ABS(D195-(Inputs!$G$4+Inputs!$B$4))&lt;0.000001,"Low Risk",IF(ABS(D195-(Inputs!$G$4+Inputs!$B$5))&lt;0.000001,"Moderate Risk",IF(ABS(D195-(Inputs!$G$4+Inputs!$B$6))&lt;0.000001,"High Risk","Worst Scenario")))</x:f>
        <x:v>Worst Scenario</x:v>
      </x:c>
      <x:c r="P195" s="28" t="n">
        <x:f>IF(A195="Purchase Order Funding",Inputs!$G$13,IF(B195=500000,180,IF(B195=750000,365,1095)))</x:f>
        <x:v>365</x:v>
      </x:c>
      <x:c r="Q195" s="20" t="n">
        <x:f>D195</x:f>
        <x:v>0.21</x:v>
      </x:c>
      <x:c r="R195" s="30" t="n">
        <x:f>B195+C195+E195+F195+L195</x:f>
        <x:v>1319350</x:v>
      </x:c>
      <x:c r="S195" s="30" t="n">
        <x:f>(B195+E195)*J195</x:f>
        <x:v>815</x:v>
      </x:c>
      <x:c r="T195" s="30" t="n">
        <x:f>C195+E195+F195+L195</x:f>
        <x:v>569350</x:v>
      </x:c>
      <x:c r="U195" s="30" t="n">
        <x:f>E195</x:f>
        <x:v>472500</x:v>
      </x:c>
      <x:c r="V195" s="30" t="n">
        <x:f>C195</x:f>
        <x:v>1000</x:v>
      </x:c>
      <x:c r="W195" s="30" t="n">
        <x:f>F195</x:f>
        <x:v>22500</x:v>
      </x:c>
      <x:c r="X195" s="30" t="n">
        <x:f>L195</x:f>
        <x:v>73350</x:v>
      </x:c>
      <x:c r="Y195" s="30" t="n">
        <x:f>SUM(U195:X195)</x:f>
        <x:v>569350</x:v>
      </x:c>
    </x:row>
    <x:row r="196">
      <x:c r="A196" t="str">
        <x:v>Short Term Contract</x:v>
      </x:c>
      <x:c r="B196" s="30" t="n">
        <x:v>750000</x:v>
      </x:c>
      <x:c r="C196" s="30" t="n">
        <x:f>Inputs!$G$5</x:f>
        <x:v>1000</x:v>
      </x:c>
      <x:c r="D196" s="20" t="n">
        <x:f>Inputs!$G$4+VLOOKUP(M196,Inputs!$A$4:$B$7,2,FALSE)</x:f>
        <x:v>0.21</x:v>
      </x:c>
      <x:c r="E196" s="30" t="n">
        <x:f>B196*D196*N196/Inputs!$G$8</x:f>
        <x:v>472500</x:v>
      </x:c>
      <x:c r="F196" s="30" t="n">
        <x:f>B196*Inputs!$G$6</x:f>
        <x:v>22500</x:v>
      </x:c>
      <x:c r="G196" t="str">
        <x:v>120 Days</x:v>
      </x:c>
      <x:c r="H196" s="28" t="n">
        <x:v>120</x:v>
      </x:c>
      <x:c r="I196" s="52" t="n">
        <x:f>Inputs!$G$7</x:f>
        <x:v>0.02</x:v>
      </x:c>
      <x:c r="J196" s="52" t="n">
        <x:f>I196/30</x:f>
        <x:v>0.0006666666666666666</x:v>
      </x:c>
      <x:c r="K196" s="52" t="n">
        <x:f>J196*H196</x:f>
        <x:v>0.08</x:v>
      </x:c>
      <x:c r="L196" s="30" t="n">
        <x:f>(B196+E196)*K196</x:f>
        <x:v>97800</x:v>
      </x:c>
      <x:c r="M196" s="30" t="n">
        <x:f>E196</x:f>
        <x:v>472500</x:v>
      </x:c>
      <x:c r="N196" s="30">
        <x:f>R196-C196-F196</x:f>
      </x:c>
      <x:c r="O196" s="20" t="str">
        <x:f>IF(ABS(D196-(Inputs!$G$4+Inputs!$B$4))&lt;0.000001,"Low Risk",IF(ABS(D196-(Inputs!$G$4+Inputs!$B$5))&lt;0.000001,"Moderate Risk",IF(ABS(D196-(Inputs!$G$4+Inputs!$B$6))&lt;0.000001,"High Risk","Worst Scenario")))</x:f>
        <x:v>Worst Scenario</x:v>
      </x:c>
      <x:c r="P196" s="28" t="n">
        <x:f>IF(A196="Purchase Order Funding",Inputs!$G$13,IF(B196=500000,180,IF(B196=750000,365,1095)))</x:f>
        <x:v>365</x:v>
      </x:c>
      <x:c r="Q196" s="20" t="n">
        <x:f>D196</x:f>
        <x:v>0.21</x:v>
      </x:c>
      <x:c r="R196" s="30" t="n">
        <x:f>B196+C196+E196+F196+L196</x:f>
        <x:v>1343800</x:v>
      </x:c>
      <x:c r="S196" s="30" t="n">
        <x:f>(B196+E196)*J196</x:f>
        <x:v>815</x:v>
      </x:c>
      <x:c r="T196" s="30" t="n">
        <x:f>C196+E196+F196+L196</x:f>
        <x:v>593800</x:v>
      </x:c>
      <x:c r="U196" s="30" t="n">
        <x:f>E196</x:f>
        <x:v>472500</x:v>
      </x:c>
      <x:c r="V196" s="30" t="n">
        <x:f>C196</x:f>
        <x:v>1000</x:v>
      </x:c>
      <x:c r="W196" s="30" t="n">
        <x:f>F196</x:f>
        <x:v>22500</x:v>
      </x:c>
      <x:c r="X196" s="30" t="n">
        <x:f>L196</x:f>
        <x:v>97800</x:v>
      </x:c>
      <x:c r="Y196" s="30" t="n">
        <x:f>SUM(U196:X196)</x:f>
        <x:v>593800</x:v>
      </x:c>
    </x:row>
    <x:row r="197">
      <x:c r="A197" t="str">
        <x:v>Short Term Contract</x:v>
      </x:c>
      <x:c r="B197" s="30" t="n">
        <x:v>1000000</x:v>
      </x:c>
      <x:c r="C197" s="30" t="n">
        <x:f>Inputs!$G$5</x:f>
        <x:v>1000</x:v>
      </x:c>
      <x:c r="D197" s="20" t="n">
        <x:f>Inputs!$G$4+VLOOKUP(M197,Inputs!$A$4:$B$7,2,FALSE)</x:f>
        <x:v>0.155</x:v>
      </x:c>
      <x:c r="E197" s="30" t="n">
        <x:f>B197*D197*N197/Inputs!$G$8</x:f>
        <x:v>76438.35616438356</x:v>
      </x:c>
      <x:c r="F197" s="30" t="n">
        <x:f>B197*Inputs!$G$6</x:f>
        <x:v>30000</x:v>
      </x:c>
      <x:c r="G197" t="str">
        <x:v>30 Days</x:v>
      </x:c>
      <x:c r="H197" s="28" t="n">
        <x:v>30</x:v>
      </x:c>
      <x:c r="I197" s="52" t="n">
        <x:f>Inputs!$G$7</x:f>
        <x:v>0.02</x:v>
      </x:c>
      <x:c r="J197" s="52" t="n">
        <x:f>I197/30</x:f>
        <x:v>0.0006666666666666666</x:v>
      </x:c>
      <x:c r="K197" s="52" t="n">
        <x:f>J197*H197</x:f>
        <x:v>0.02</x:v>
      </x:c>
      <x:c r="L197" s="30" t="n">
        <x:f>(B197+E197)*K197</x:f>
        <x:v>21528.76712328767</x:v>
      </x:c>
      <x:c r="M197" s="30" t="n">
        <x:f>E197</x:f>
        <x:v>76438.35616438356</x:v>
      </x:c>
      <x:c r="N197" s="30">
        <x:f>R197-C197-F197</x:f>
      </x:c>
      <x:c r="O197" s="20" t="str">
        <x:f>IF(ABS(D197-(Inputs!$G$4+Inputs!$B$4))&lt;0.000001,"Low Risk",IF(ABS(D197-(Inputs!$G$4+Inputs!$B$5))&lt;0.000001,"Moderate Risk",IF(ABS(D197-(Inputs!$G$4+Inputs!$B$6))&lt;0.000001,"High Risk","Worst Scenario")))</x:f>
        <x:v>Low Risk</x:v>
      </x:c>
      <x:c r="P197" s="28" t="n">
        <x:f>IF(A197="Purchase Order Funding",Inputs!$G$13,IF(B197=500000,180,IF(B197=750000,365,1095)))</x:f>
        <x:v>1095</x:v>
      </x:c>
      <x:c r="Q197" s="20" t="n">
        <x:f>D197</x:f>
        <x:v>0.155</x:v>
      </x:c>
      <x:c r="R197" s="30" t="n">
        <x:f>B197+C197+E197+F197+L197</x:f>
        <x:v>1128967.1232876712</x:v>
      </x:c>
      <x:c r="S197" s="30" t="n">
        <x:f>(B197+E197)*J197</x:f>
        <x:v>717.6255707762556</x:v>
      </x:c>
      <x:c r="T197" s="30" t="n">
        <x:f>C197+E197+F197+L197</x:f>
        <x:v>128967.12328767123</x:v>
      </x:c>
      <x:c r="U197" s="30" t="n">
        <x:f>E197</x:f>
        <x:v>76438.35616438356</x:v>
      </x:c>
      <x:c r="V197" s="30" t="n">
        <x:f>C197</x:f>
        <x:v>1000</x:v>
      </x:c>
      <x:c r="W197" s="30" t="n">
        <x:f>F197</x:f>
        <x:v>30000</x:v>
      </x:c>
      <x:c r="X197" s="30" t="n">
        <x:f>L197</x:f>
        <x:v>21528.76712328767</x:v>
      </x:c>
      <x:c r="Y197" s="30" t="n">
        <x:f>SUM(U197:X197)</x:f>
        <x:v>128967.12328767123</x:v>
      </x:c>
    </x:row>
    <x:row r="198">
      <x:c r="A198" t="str">
        <x:v>Short Term Contract</x:v>
      </x:c>
      <x:c r="B198" s="30" t="n">
        <x:v>1000000</x:v>
      </x:c>
      <x:c r="C198" s="30" t="n">
        <x:f>Inputs!$G$5</x:f>
        <x:v>1000</x:v>
      </x:c>
      <x:c r="D198" s="20" t="n">
        <x:f>Inputs!$G$4+VLOOKUP(M198,Inputs!$A$4:$B$7,2,FALSE)</x:f>
        <x:v>0.155</x:v>
      </x:c>
      <x:c r="E198" s="30" t="n">
        <x:f>B198*D198*N198/Inputs!$G$8</x:f>
        <x:v>76438.35616438356</x:v>
      </x:c>
      <x:c r="F198" s="30" t="n">
        <x:f>B198*Inputs!$G$6</x:f>
        <x:v>30000</x:v>
      </x:c>
      <x:c r="G198" t="str">
        <x:v>60 Days</x:v>
      </x:c>
      <x:c r="H198" s="28" t="n">
        <x:v>60</x:v>
      </x:c>
      <x:c r="I198" s="52" t="n">
        <x:f>Inputs!$G$7</x:f>
        <x:v>0.02</x:v>
      </x:c>
      <x:c r="J198" s="52" t="n">
        <x:f>I198/30</x:f>
        <x:v>0.0006666666666666666</x:v>
      </x:c>
      <x:c r="K198" s="52" t="n">
        <x:f>J198*H198</x:f>
        <x:v>0.04</x:v>
      </x:c>
      <x:c r="L198" s="30" t="n">
        <x:f>(B198+E198)*K198</x:f>
        <x:v>43057.53424657534</x:v>
      </x:c>
      <x:c r="M198" s="30" t="n">
        <x:f>E198</x:f>
        <x:v>76438.35616438356</x:v>
      </x:c>
      <x:c r="N198" s="30">
        <x:f>R198-C198-F198</x:f>
      </x:c>
      <x:c r="O198" s="20" t="str">
        <x:f>IF(ABS(D198-(Inputs!$G$4+Inputs!$B$4))&lt;0.000001,"Low Risk",IF(ABS(D198-(Inputs!$G$4+Inputs!$B$5))&lt;0.000001,"Moderate Risk",IF(ABS(D198-(Inputs!$G$4+Inputs!$B$6))&lt;0.000001,"High Risk","Worst Scenario")))</x:f>
        <x:v>Low Risk</x:v>
      </x:c>
      <x:c r="P198" s="28" t="n">
        <x:f>IF(A198="Purchase Order Funding",Inputs!$G$13,IF(B198=500000,180,IF(B198=750000,365,1095)))</x:f>
        <x:v>1095</x:v>
      </x:c>
      <x:c r="Q198" s="20" t="n">
        <x:f>D198</x:f>
        <x:v>0.155</x:v>
      </x:c>
      <x:c r="R198" s="30" t="n">
        <x:f>B198+C198+E198+F198+L198</x:f>
        <x:v>1150495.8904109588</x:v>
      </x:c>
      <x:c r="S198" s="30" t="n">
        <x:f>(B198+E198)*J198</x:f>
        <x:v>717.6255707762556</x:v>
      </x:c>
      <x:c r="T198" s="30" t="n">
        <x:f>C198+E198+F198+L198</x:f>
        <x:v>150495.8904109589</x:v>
      </x:c>
      <x:c r="U198" s="30" t="n">
        <x:f>E198</x:f>
        <x:v>76438.35616438356</x:v>
      </x:c>
      <x:c r="V198" s="30" t="n">
        <x:f>C198</x:f>
        <x:v>1000</x:v>
      </x:c>
      <x:c r="W198" s="30" t="n">
        <x:f>F198</x:f>
        <x:v>30000</x:v>
      </x:c>
      <x:c r="X198" s="30" t="n">
        <x:f>L198</x:f>
        <x:v>43057.53424657534</x:v>
      </x:c>
      <x:c r="Y198" s="30" t="n">
        <x:f>SUM(U198:X198)</x:f>
        <x:v>150495.8904109589</x:v>
      </x:c>
    </x:row>
    <x:row r="199">
      <x:c r="A199" t="str">
        <x:v>Short Term Contract</x:v>
      </x:c>
      <x:c r="B199" s="30" t="n">
        <x:v>1000000</x:v>
      </x:c>
      <x:c r="C199" s="30" t="n">
        <x:f>Inputs!$G$5</x:f>
        <x:v>1000</x:v>
      </x:c>
      <x:c r="D199" s="20" t="n">
        <x:f>Inputs!$G$4+VLOOKUP(M199,Inputs!$A$4:$B$7,2,FALSE)</x:f>
        <x:v>0.155</x:v>
      </x:c>
      <x:c r="E199" s="30" t="n">
        <x:f>B199*D199*N199/Inputs!$G$8</x:f>
        <x:v>76438.35616438356</x:v>
      </x:c>
      <x:c r="F199" s="30" t="n">
        <x:f>B199*Inputs!$G$6</x:f>
        <x:v>30000</x:v>
      </x:c>
      <x:c r="G199" t="str">
        <x:v>90 Days</x:v>
      </x:c>
      <x:c r="H199" s="28" t="n">
        <x:v>90</x:v>
      </x:c>
      <x:c r="I199" s="52" t="n">
        <x:f>Inputs!$G$7</x:f>
        <x:v>0.02</x:v>
      </x:c>
      <x:c r="J199" s="52" t="n">
        <x:f>I199/30</x:f>
        <x:v>0.0006666666666666666</x:v>
      </x:c>
      <x:c r="K199" s="52" t="n">
        <x:f>J199*H199</x:f>
        <x:v>0.06</x:v>
      </x:c>
      <x:c r="L199" s="30" t="n">
        <x:f>(B199+E199)*K199</x:f>
        <x:v>64586.30136986301</x:v>
      </x:c>
      <x:c r="M199" s="30" t="n">
        <x:f>E199</x:f>
        <x:v>76438.35616438356</x:v>
      </x:c>
      <x:c r="N199" s="30">
        <x:f>R199-C199-F199</x:f>
      </x:c>
      <x:c r="O199" s="20" t="str">
        <x:f>IF(ABS(D199-(Inputs!$G$4+Inputs!$B$4))&lt;0.000001,"Low Risk",IF(ABS(D199-(Inputs!$G$4+Inputs!$B$5))&lt;0.000001,"Moderate Risk",IF(ABS(D199-(Inputs!$G$4+Inputs!$B$6))&lt;0.000001,"High Risk","Worst Scenario")))</x:f>
        <x:v>Low Risk</x:v>
      </x:c>
      <x:c r="P199" s="28" t="n">
        <x:f>IF(A199="Purchase Order Funding",Inputs!$G$13,IF(B199=500000,180,IF(B199=750000,365,1095)))</x:f>
        <x:v>1095</x:v>
      </x:c>
      <x:c r="Q199" s="20" t="n">
        <x:f>D199</x:f>
        <x:v>0.155</x:v>
      </x:c>
      <x:c r="R199" s="30" t="n">
        <x:f>B199+C199+E199+F199+L199</x:f>
        <x:v>1172024.6575342466</x:v>
      </x:c>
      <x:c r="S199" s="30" t="n">
        <x:f>(B199+E199)*J199</x:f>
        <x:v>717.6255707762556</x:v>
      </x:c>
      <x:c r="T199" s="30" t="n">
        <x:f>C199+E199+F199+L199</x:f>
        <x:v>172024.65753424657</x:v>
      </x:c>
      <x:c r="U199" s="30" t="n">
        <x:f>E199</x:f>
        <x:v>76438.35616438356</x:v>
      </x:c>
      <x:c r="V199" s="30" t="n">
        <x:f>C199</x:f>
        <x:v>1000</x:v>
      </x:c>
      <x:c r="W199" s="30" t="n">
        <x:f>F199</x:f>
        <x:v>30000</x:v>
      </x:c>
      <x:c r="X199" s="30" t="n">
        <x:f>L199</x:f>
        <x:v>64586.30136986301</x:v>
      </x:c>
      <x:c r="Y199" s="30" t="n">
        <x:f>SUM(U199:X199)</x:f>
        <x:v>172024.65753424657</x:v>
      </x:c>
    </x:row>
    <x:row r="200">
      <x:c r="A200" t="str">
        <x:v>Short Term Contract</x:v>
      </x:c>
      <x:c r="B200" s="30" t="n">
        <x:v>1000000</x:v>
      </x:c>
      <x:c r="C200" s="30" t="n">
        <x:f>Inputs!$G$5</x:f>
        <x:v>1000</x:v>
      </x:c>
      <x:c r="D200" s="20" t="n">
        <x:f>Inputs!$G$4+VLOOKUP(M200,Inputs!$A$4:$B$7,2,FALSE)</x:f>
        <x:v>0.155</x:v>
      </x:c>
      <x:c r="E200" s="30" t="n">
        <x:f>B200*D200*N200/Inputs!$G$8</x:f>
        <x:v>76438.35616438356</x:v>
      </x:c>
      <x:c r="F200" s="30" t="n">
        <x:f>B200*Inputs!$G$6</x:f>
        <x:v>30000</x:v>
      </x:c>
      <x:c r="G200" t="str">
        <x:v>120 Days</x:v>
      </x:c>
      <x:c r="H200" s="28" t="n">
        <x:v>120</x:v>
      </x:c>
      <x:c r="I200" s="52" t="n">
        <x:f>Inputs!$G$7</x:f>
        <x:v>0.02</x:v>
      </x:c>
      <x:c r="J200" s="52" t="n">
        <x:f>I200/30</x:f>
        <x:v>0.0006666666666666666</x:v>
      </x:c>
      <x:c r="K200" s="52" t="n">
        <x:f>J200*H200</x:f>
        <x:v>0.08</x:v>
      </x:c>
      <x:c r="L200" s="30" t="n">
        <x:f>(B200+E200)*K200</x:f>
        <x:v>86115.06849315068</x:v>
      </x:c>
      <x:c r="M200" s="30" t="n">
        <x:f>E200</x:f>
        <x:v>76438.35616438356</x:v>
      </x:c>
      <x:c r="N200" s="30">
        <x:f>R200-C200-F200</x:f>
      </x:c>
      <x:c r="O200" s="20" t="str">
        <x:f>IF(ABS(D200-(Inputs!$G$4+Inputs!$B$4))&lt;0.000001,"Low Risk",IF(ABS(D200-(Inputs!$G$4+Inputs!$B$5))&lt;0.000001,"Moderate Risk",IF(ABS(D200-(Inputs!$G$4+Inputs!$B$6))&lt;0.000001,"High Risk","Worst Scenario")))</x:f>
        <x:v>Low Risk</x:v>
      </x:c>
      <x:c r="P200" s="28" t="n">
        <x:f>IF(A200="Purchase Order Funding",Inputs!$G$13,IF(B200=500000,180,IF(B200=750000,365,1095)))</x:f>
        <x:v>1095</x:v>
      </x:c>
      <x:c r="Q200" s="20" t="n">
        <x:f>D200</x:f>
        <x:v>0.155</x:v>
      </x:c>
      <x:c r="R200" s="30" t="n">
        <x:f>B200+C200+E200+F200+L200</x:f>
        <x:v>1193553.424657534</x:v>
      </x:c>
      <x:c r="S200" s="30" t="n">
        <x:f>(B200+E200)*J200</x:f>
        <x:v>717.6255707762556</x:v>
      </x:c>
      <x:c r="T200" s="30" t="n">
        <x:f>C200+E200+F200+L200</x:f>
        <x:v>193553.42465753423</x:v>
      </x:c>
      <x:c r="U200" s="30" t="n">
        <x:f>E200</x:f>
        <x:v>76438.35616438356</x:v>
      </x:c>
      <x:c r="V200" s="30" t="n">
        <x:f>C200</x:f>
        <x:v>1000</x:v>
      </x:c>
      <x:c r="W200" s="30" t="n">
        <x:f>F200</x:f>
        <x:v>30000</x:v>
      </x:c>
      <x:c r="X200" s="30" t="n">
        <x:f>L200</x:f>
        <x:v>86115.06849315068</x:v>
      </x:c>
      <x:c r="Y200" s="30" t="n">
        <x:f>SUM(U200:X200)</x:f>
        <x:v>193553.42465753423</x:v>
      </x:c>
    </x:row>
    <x:row r="201">
      <x:c r="A201" t="str">
        <x:v>Short Term Contract</x:v>
      </x:c>
      <x:c r="B201" s="30" t="n">
        <x:v>1000000</x:v>
      </x:c>
      <x:c r="C201" s="30" t="n">
        <x:f>Inputs!$G$5</x:f>
        <x:v>1000</x:v>
      </x:c>
      <x:c r="D201" s="20" t="n">
        <x:f>Inputs!$G$4+VLOOKUP(M201,Inputs!$A$4:$B$7,2,FALSE)</x:f>
        <x:v>0.16999999999999998</x:v>
      </x:c>
      <x:c r="E201" s="30" t="n">
        <x:f>B201*D201*N201/Inputs!$G$8</x:f>
        <x:v>83835.61643835616</x:v>
      </x:c>
      <x:c r="F201" s="30" t="n">
        <x:f>B201*Inputs!$G$6</x:f>
        <x:v>30000</x:v>
      </x:c>
      <x:c r="G201" t="str">
        <x:v>30 Days</x:v>
      </x:c>
      <x:c r="H201" s="28" t="n">
        <x:v>30</x:v>
      </x:c>
      <x:c r="I201" s="52" t="n">
        <x:f>Inputs!$G$7</x:f>
        <x:v>0.02</x:v>
      </x:c>
      <x:c r="J201" s="52" t="n">
        <x:f>I201/30</x:f>
        <x:v>0.0006666666666666666</x:v>
      </x:c>
      <x:c r="K201" s="52" t="n">
        <x:f>J201*H201</x:f>
        <x:v>0.02</x:v>
      </x:c>
      <x:c r="L201" s="30" t="n">
        <x:f>(B201+E201)*K201</x:f>
        <x:v>21676.712328767124</x:v>
      </x:c>
      <x:c r="M201" s="30" t="n">
        <x:f>E201</x:f>
        <x:v>83835.61643835616</x:v>
      </x:c>
      <x:c r="N201" s="30">
        <x:f>R201-C201-F201</x:f>
      </x:c>
      <x:c r="O201" s="20" t="str">
        <x:f>IF(ABS(D201-(Inputs!$G$4+Inputs!$B$4))&lt;0.000001,"Low Risk",IF(ABS(D201-(Inputs!$G$4+Inputs!$B$5))&lt;0.000001,"Moderate Risk",IF(ABS(D201-(Inputs!$G$4+Inputs!$B$6))&lt;0.000001,"High Risk","Worst Scenario")))</x:f>
        <x:v>Moderate Risk</x:v>
      </x:c>
      <x:c r="P201" s="28" t="n">
        <x:f>IF(A201="Purchase Order Funding",Inputs!$G$13,IF(B201=500000,180,IF(B201=750000,365,1095)))</x:f>
        <x:v>1095</x:v>
      </x:c>
      <x:c r="Q201" s="20" t="n">
        <x:f>D201</x:f>
        <x:v>0.16999999999999998</x:v>
      </x:c>
      <x:c r="R201" s="30" t="n">
        <x:f>B201+C201+E201+F201+L201</x:f>
        <x:v>1136512.3287671234</x:v>
      </x:c>
      <x:c r="S201" s="30" t="n">
        <x:f>(B201+E201)*J201</x:f>
        <x:v>722.5570776255707</x:v>
      </x:c>
      <x:c r="T201" s="30" t="n">
        <x:f>C201+E201+F201+L201</x:f>
        <x:v>136512.32876712328</x:v>
      </x:c>
      <x:c r="U201" s="30" t="n">
        <x:f>E201</x:f>
        <x:v>83835.61643835616</x:v>
      </x:c>
      <x:c r="V201" s="30" t="n">
        <x:f>C201</x:f>
        <x:v>1000</x:v>
      </x:c>
      <x:c r="W201" s="30" t="n">
        <x:f>F201</x:f>
        <x:v>30000</x:v>
      </x:c>
      <x:c r="X201" s="30" t="n">
        <x:f>L201</x:f>
        <x:v>21676.712328767124</x:v>
      </x:c>
      <x:c r="Y201" s="30" t="n">
        <x:f>SUM(U201:X201)</x:f>
        <x:v>136512.32876712328</x:v>
      </x:c>
    </x:row>
    <x:row r="202">
      <x:c r="A202" t="str">
        <x:v>Short Term Contract</x:v>
      </x:c>
      <x:c r="B202" s="30" t="n">
        <x:v>1000000</x:v>
      </x:c>
      <x:c r="C202" s="30" t="n">
        <x:f>Inputs!$G$5</x:f>
        <x:v>1000</x:v>
      </x:c>
      <x:c r="D202" s="20" t="n">
        <x:f>Inputs!$G$4+VLOOKUP(M202,Inputs!$A$4:$B$7,2,FALSE)</x:f>
        <x:v>0.16999999999999998</x:v>
      </x:c>
      <x:c r="E202" s="30" t="n">
        <x:f>B202*D202*N202/Inputs!$G$8</x:f>
        <x:v>83835.61643835616</x:v>
      </x:c>
      <x:c r="F202" s="30" t="n">
        <x:f>B202*Inputs!$G$6</x:f>
        <x:v>30000</x:v>
      </x:c>
      <x:c r="G202" t="str">
        <x:v>60 Days</x:v>
      </x:c>
      <x:c r="H202" s="28" t="n">
        <x:v>60</x:v>
      </x:c>
      <x:c r="I202" s="52" t="n">
        <x:f>Inputs!$G$7</x:f>
        <x:v>0.02</x:v>
      </x:c>
      <x:c r="J202" s="52" t="n">
        <x:f>I202/30</x:f>
        <x:v>0.0006666666666666666</x:v>
      </x:c>
      <x:c r="K202" s="52" t="n">
        <x:f>J202*H202</x:f>
        <x:v>0.04</x:v>
      </x:c>
      <x:c r="L202" s="30" t="n">
        <x:f>(B202+E202)*K202</x:f>
        <x:v>43353.42465753425</x:v>
      </x:c>
      <x:c r="M202" s="30" t="n">
        <x:f>E202</x:f>
        <x:v>83835.61643835616</x:v>
      </x:c>
      <x:c r="N202" s="30">
        <x:f>R202-C202-F202</x:f>
      </x:c>
      <x:c r="O202" s="20" t="str">
        <x:f>IF(ABS(D202-(Inputs!$G$4+Inputs!$B$4))&lt;0.000001,"Low Risk",IF(ABS(D202-(Inputs!$G$4+Inputs!$B$5))&lt;0.000001,"Moderate Risk",IF(ABS(D202-(Inputs!$G$4+Inputs!$B$6))&lt;0.000001,"High Risk","Worst Scenario")))</x:f>
        <x:v>Moderate Risk</x:v>
      </x:c>
      <x:c r="P202" s="28" t="n">
        <x:f>IF(A202="Purchase Order Funding",Inputs!$G$13,IF(B202=500000,180,IF(B202=750000,365,1095)))</x:f>
        <x:v>1095</x:v>
      </x:c>
      <x:c r="Q202" s="20" t="n">
        <x:f>D202</x:f>
        <x:v>0.16999999999999998</x:v>
      </x:c>
      <x:c r="R202" s="30" t="n">
        <x:f>B202+C202+E202+F202+L202</x:f>
        <x:v>1158189.0410958906</x:v>
      </x:c>
      <x:c r="S202" s="30" t="n">
        <x:f>(B202+E202)*J202</x:f>
        <x:v>722.5570776255707</x:v>
      </x:c>
      <x:c r="T202" s="30" t="n">
        <x:f>C202+E202+F202+L202</x:f>
        <x:v>158189.0410958904</x:v>
      </x:c>
      <x:c r="U202" s="30" t="n">
        <x:f>E202</x:f>
        <x:v>83835.61643835616</x:v>
      </x:c>
      <x:c r="V202" s="30" t="n">
        <x:f>C202</x:f>
        <x:v>1000</x:v>
      </x:c>
      <x:c r="W202" s="30" t="n">
        <x:f>F202</x:f>
        <x:v>30000</x:v>
      </x:c>
      <x:c r="X202" s="30" t="n">
        <x:f>L202</x:f>
        <x:v>43353.42465753425</x:v>
      </x:c>
      <x:c r="Y202" s="30" t="n">
        <x:f>SUM(U202:X202)</x:f>
        <x:v>158189.0410958904</x:v>
      </x:c>
    </x:row>
    <x:row r="203">
      <x:c r="A203" t="str">
        <x:v>Short Term Contract</x:v>
      </x:c>
      <x:c r="B203" s="30" t="n">
        <x:v>1000000</x:v>
      </x:c>
      <x:c r="C203" s="30" t="n">
        <x:f>Inputs!$G$5</x:f>
        <x:v>1000</x:v>
      </x:c>
      <x:c r="D203" s="20" t="n">
        <x:f>Inputs!$G$4+VLOOKUP(M203,Inputs!$A$4:$B$7,2,FALSE)</x:f>
        <x:v>0.16999999999999998</x:v>
      </x:c>
      <x:c r="E203" s="30" t="n">
        <x:f>B203*D203*N203/Inputs!$G$8</x:f>
        <x:v>83835.61643835616</x:v>
      </x:c>
      <x:c r="F203" s="30" t="n">
        <x:f>B203*Inputs!$G$6</x:f>
        <x:v>30000</x:v>
      </x:c>
      <x:c r="G203" t="str">
        <x:v>90 Days</x:v>
      </x:c>
      <x:c r="H203" s="28" t="n">
        <x:v>90</x:v>
      </x:c>
      <x:c r="I203" s="52" t="n">
        <x:f>Inputs!$G$7</x:f>
        <x:v>0.02</x:v>
      </x:c>
      <x:c r="J203" s="52" t="n">
        <x:f>I203/30</x:f>
        <x:v>0.0006666666666666666</x:v>
      </x:c>
      <x:c r="K203" s="52" t="n">
        <x:f>J203*H203</x:f>
        <x:v>0.06</x:v>
      </x:c>
      <x:c r="L203" s="30" t="n">
        <x:f>(B203+E203)*K203</x:f>
        <x:v>65030.13698630137</x:v>
      </x:c>
      <x:c r="M203" s="30" t="n">
        <x:f>E203</x:f>
        <x:v>83835.61643835616</x:v>
      </x:c>
      <x:c r="N203" s="30">
        <x:f>R203-C203-F203</x:f>
      </x:c>
      <x:c r="O203" s="20" t="str">
        <x:f>IF(ABS(D203-(Inputs!$G$4+Inputs!$B$4))&lt;0.000001,"Low Risk",IF(ABS(D203-(Inputs!$G$4+Inputs!$B$5))&lt;0.000001,"Moderate Risk",IF(ABS(D203-(Inputs!$G$4+Inputs!$B$6))&lt;0.000001,"High Risk","Worst Scenario")))</x:f>
        <x:v>Moderate Risk</x:v>
      </x:c>
      <x:c r="P203" s="28" t="n">
        <x:f>IF(A203="Purchase Order Funding",Inputs!$G$13,IF(B203=500000,180,IF(B203=750000,365,1095)))</x:f>
        <x:v>1095</x:v>
      </x:c>
      <x:c r="Q203" s="20" t="n">
        <x:f>D203</x:f>
        <x:v>0.16999999999999998</x:v>
      </x:c>
      <x:c r="R203" s="30" t="n">
        <x:f>B203+C203+E203+F203+L203</x:f>
        <x:v>1179865.7534246575</x:v>
      </x:c>
      <x:c r="S203" s="30" t="n">
        <x:f>(B203+E203)*J203</x:f>
        <x:v>722.5570776255707</x:v>
      </x:c>
      <x:c r="T203" s="30" t="n">
        <x:f>C203+E203+F203+L203</x:f>
        <x:v>179865.7534246575</x:v>
      </x:c>
      <x:c r="U203" s="30" t="n">
        <x:f>E203</x:f>
        <x:v>83835.61643835616</x:v>
      </x:c>
      <x:c r="V203" s="30" t="n">
        <x:f>C203</x:f>
        <x:v>1000</x:v>
      </x:c>
      <x:c r="W203" s="30" t="n">
        <x:f>F203</x:f>
        <x:v>30000</x:v>
      </x:c>
      <x:c r="X203" s="30" t="n">
        <x:f>L203</x:f>
        <x:v>65030.13698630137</x:v>
      </x:c>
      <x:c r="Y203" s="30" t="n">
        <x:f>SUM(U203:X203)</x:f>
        <x:v>179865.7534246575</x:v>
      </x:c>
    </x:row>
    <x:row r="204">
      <x:c r="A204" t="str">
        <x:v>Short Term Contract</x:v>
      </x:c>
      <x:c r="B204" s="30" t="n">
        <x:v>1000000</x:v>
      </x:c>
      <x:c r="C204" s="30" t="n">
        <x:f>Inputs!$G$5</x:f>
        <x:v>1000</x:v>
      </x:c>
      <x:c r="D204" s="20" t="n">
        <x:f>Inputs!$G$4+VLOOKUP(M204,Inputs!$A$4:$B$7,2,FALSE)</x:f>
        <x:v>0.16999999999999998</x:v>
      </x:c>
      <x:c r="E204" s="30" t="n">
        <x:f>B204*D204*N204/Inputs!$G$8</x:f>
        <x:v>83835.61643835616</x:v>
      </x:c>
      <x:c r="F204" s="30" t="n">
        <x:f>B204*Inputs!$G$6</x:f>
        <x:v>30000</x:v>
      </x:c>
      <x:c r="G204" t="str">
        <x:v>120 Days</x:v>
      </x:c>
      <x:c r="H204" s="28" t="n">
        <x:v>120</x:v>
      </x:c>
      <x:c r="I204" s="52" t="n">
        <x:f>Inputs!$G$7</x:f>
        <x:v>0.02</x:v>
      </x:c>
      <x:c r="J204" s="52" t="n">
        <x:f>I204/30</x:f>
        <x:v>0.0006666666666666666</x:v>
      </x:c>
      <x:c r="K204" s="52" t="n">
        <x:f>J204*H204</x:f>
        <x:v>0.08</x:v>
      </x:c>
      <x:c r="L204" s="30" t="n">
        <x:f>(B204+E204)*K204</x:f>
        <x:v>86706.8493150685</x:v>
      </x:c>
      <x:c r="M204" s="30" t="n">
        <x:f>E204</x:f>
        <x:v>83835.61643835616</x:v>
      </x:c>
      <x:c r="N204" s="30">
        <x:f>R204-C204-F204</x:f>
      </x:c>
      <x:c r="O204" s="20" t="str">
        <x:f>IF(ABS(D204-(Inputs!$G$4+Inputs!$B$4))&lt;0.000001,"Low Risk",IF(ABS(D204-(Inputs!$G$4+Inputs!$B$5))&lt;0.000001,"Moderate Risk",IF(ABS(D204-(Inputs!$G$4+Inputs!$B$6))&lt;0.000001,"High Risk","Worst Scenario")))</x:f>
        <x:v>Moderate Risk</x:v>
      </x:c>
      <x:c r="P204" s="28" t="n">
        <x:f>IF(A204="Purchase Order Funding",Inputs!$G$13,IF(B204=500000,180,IF(B204=750000,365,1095)))</x:f>
        <x:v>1095</x:v>
      </x:c>
      <x:c r="Q204" s="20" t="n">
        <x:f>D204</x:f>
        <x:v>0.16999999999999998</x:v>
      </x:c>
      <x:c r="R204" s="30" t="n">
        <x:f>B204+C204+E204+F204+L204</x:f>
        <x:v>1201542.4657534247</x:v>
      </x:c>
      <x:c r="S204" s="30" t="n">
        <x:f>(B204+E204)*J204</x:f>
        <x:v>722.5570776255707</x:v>
      </x:c>
      <x:c r="T204" s="30" t="n">
        <x:f>C204+E204+F204+L204</x:f>
        <x:v>201542.46575342465</x:v>
      </x:c>
      <x:c r="U204" s="30" t="n">
        <x:f>E204</x:f>
        <x:v>83835.61643835616</x:v>
      </x:c>
      <x:c r="V204" s="30" t="n">
        <x:f>C204</x:f>
        <x:v>1000</x:v>
      </x:c>
      <x:c r="W204" s="30" t="n">
        <x:f>F204</x:f>
        <x:v>30000</x:v>
      </x:c>
      <x:c r="X204" s="30" t="n">
        <x:f>L204</x:f>
        <x:v>86706.8493150685</x:v>
      </x:c>
      <x:c r="Y204" s="30" t="n">
        <x:f>SUM(U204:X204)</x:f>
        <x:v>201542.46575342465</x:v>
      </x:c>
    </x:row>
    <x:row r="205">
      <x:c r="A205" t="str">
        <x:v>Short Term Contract</x:v>
      </x:c>
      <x:c r="B205" s="30" t="n">
        <x:v>1000000</x:v>
      </x:c>
      <x:c r="C205" s="30" t="n">
        <x:f>Inputs!$G$5</x:f>
        <x:v>1000</x:v>
      </x:c>
      <x:c r="D205" s="20" t="n">
        <x:f>Inputs!$G$4+VLOOKUP(M205,Inputs!$A$4:$B$7,2,FALSE)</x:f>
        <x:v>0.19</x:v>
      </x:c>
      <x:c r="E205" s="30" t="n">
        <x:f>B205*D205*N205/Inputs!$G$8</x:f>
        <x:v>93698.6301369863</x:v>
      </x:c>
      <x:c r="F205" s="30" t="n">
        <x:f>B205*Inputs!$G$6</x:f>
        <x:v>30000</x:v>
      </x:c>
      <x:c r="G205" t="str">
        <x:v>30 Days</x:v>
      </x:c>
      <x:c r="H205" s="28" t="n">
        <x:v>30</x:v>
      </x:c>
      <x:c r="I205" s="52" t="n">
        <x:f>Inputs!$G$7</x:f>
        <x:v>0.02</x:v>
      </x:c>
      <x:c r="J205" s="52" t="n">
        <x:f>I205/30</x:f>
        <x:v>0.0006666666666666666</x:v>
      </x:c>
      <x:c r="K205" s="52" t="n">
        <x:f>J205*H205</x:f>
        <x:v>0.02</x:v>
      </x:c>
      <x:c r="L205" s="30" t="n">
        <x:f>(B205+E205)*K205</x:f>
        <x:v>21873.972602739726</x:v>
      </x:c>
      <x:c r="M205" s="30" t="n">
        <x:f>E205</x:f>
        <x:v>93698.6301369863</x:v>
      </x:c>
      <x:c r="N205" s="30">
        <x:f>R205-C205-F205</x:f>
      </x:c>
      <x:c r="O205" s="20" t="str">
        <x:f>IF(ABS(D205-(Inputs!$G$4+Inputs!$B$4))&lt;0.000001,"Low Risk",IF(ABS(D205-(Inputs!$G$4+Inputs!$B$5))&lt;0.000001,"Moderate Risk",IF(ABS(D205-(Inputs!$G$4+Inputs!$B$6))&lt;0.000001,"High Risk","Worst Scenario")))</x:f>
        <x:v>High Risk</x:v>
      </x:c>
      <x:c r="P205" s="28" t="n">
        <x:f>IF(A205="Purchase Order Funding",Inputs!$G$13,IF(B205=500000,180,IF(B205=750000,365,1095)))</x:f>
        <x:v>1095</x:v>
      </x:c>
      <x:c r="Q205" s="20" t="n">
        <x:f>D205</x:f>
        <x:v>0.19</x:v>
      </x:c>
      <x:c r="R205" s="30" t="n">
        <x:f>B205+C205+E205+F205+L205</x:f>
        <x:v>1146572.602739726</x:v>
      </x:c>
      <x:c r="S205" s="30" t="n">
        <x:f>(B205+E205)*J205</x:f>
        <x:v>729.1324200913242</x:v>
      </x:c>
      <x:c r="T205" s="30" t="n">
        <x:f>C205+E205+F205+L205</x:f>
        <x:v>146572.60273972602</x:v>
      </x:c>
      <x:c r="U205" s="30" t="n">
        <x:f>E205</x:f>
        <x:v>93698.6301369863</x:v>
      </x:c>
      <x:c r="V205" s="30" t="n">
        <x:f>C205</x:f>
        <x:v>1000</x:v>
      </x:c>
      <x:c r="W205" s="30" t="n">
        <x:f>F205</x:f>
        <x:v>30000</x:v>
      </x:c>
      <x:c r="X205" s="30" t="n">
        <x:f>L205</x:f>
        <x:v>21873.972602739726</x:v>
      </x:c>
      <x:c r="Y205" s="30" t="n">
        <x:f>SUM(U205:X205)</x:f>
        <x:v>146572.60273972602</x:v>
      </x:c>
    </x:row>
    <x:row r="206">
      <x:c r="A206" t="str">
        <x:v>Short Term Contract</x:v>
      </x:c>
      <x:c r="B206" s="30" t="n">
        <x:v>1000000</x:v>
      </x:c>
      <x:c r="C206" s="30" t="n">
        <x:f>Inputs!$G$5</x:f>
        <x:v>1000</x:v>
      </x:c>
      <x:c r="D206" s="20" t="n">
        <x:f>Inputs!$G$4+VLOOKUP(M206,Inputs!$A$4:$B$7,2,FALSE)</x:f>
        <x:v>0.19</x:v>
      </x:c>
      <x:c r="E206" s="30" t="n">
        <x:f>B206*D206*N206/Inputs!$G$8</x:f>
        <x:v>93698.6301369863</x:v>
      </x:c>
      <x:c r="F206" s="30" t="n">
        <x:f>B206*Inputs!$G$6</x:f>
        <x:v>30000</x:v>
      </x:c>
      <x:c r="G206" t="str">
        <x:v>60 Days</x:v>
      </x:c>
      <x:c r="H206" s="28" t="n">
        <x:v>60</x:v>
      </x:c>
      <x:c r="I206" s="52" t="n">
        <x:f>Inputs!$G$7</x:f>
        <x:v>0.02</x:v>
      </x:c>
      <x:c r="J206" s="52" t="n">
        <x:f>I206/30</x:f>
        <x:v>0.0006666666666666666</x:v>
      </x:c>
      <x:c r="K206" s="52" t="n">
        <x:f>J206*H206</x:f>
        <x:v>0.04</x:v>
      </x:c>
      <x:c r="L206" s="30" t="n">
        <x:f>(B206+E206)*K206</x:f>
        <x:v>43747.94520547945</x:v>
      </x:c>
      <x:c r="M206" s="30" t="n">
        <x:f>E206</x:f>
        <x:v>93698.6301369863</x:v>
      </x:c>
      <x:c r="N206" s="30">
        <x:f>R206-C206-F206</x:f>
      </x:c>
      <x:c r="O206" s="20" t="str">
        <x:f>IF(ABS(D206-(Inputs!$G$4+Inputs!$B$4))&lt;0.000001,"Low Risk",IF(ABS(D206-(Inputs!$G$4+Inputs!$B$5))&lt;0.000001,"Moderate Risk",IF(ABS(D206-(Inputs!$G$4+Inputs!$B$6))&lt;0.000001,"High Risk","Worst Scenario")))</x:f>
        <x:v>High Risk</x:v>
      </x:c>
      <x:c r="P206" s="28" t="n">
        <x:f>IF(A206="Purchase Order Funding",Inputs!$G$13,IF(B206=500000,180,IF(B206=750000,365,1095)))</x:f>
        <x:v>1095</x:v>
      </x:c>
      <x:c r="Q206" s="20" t="n">
        <x:f>D206</x:f>
        <x:v>0.19</x:v>
      </x:c>
      <x:c r="R206" s="30" t="n">
        <x:f>B206+C206+E206+F206+L206</x:f>
        <x:v>1168446.5753424657</x:v>
      </x:c>
      <x:c r="S206" s="30" t="n">
        <x:f>(B206+E206)*J206</x:f>
        <x:v>729.1324200913242</x:v>
      </x:c>
      <x:c r="T206" s="30" t="n">
        <x:f>C206+E206+F206+L206</x:f>
        <x:v>168446.57534246577</x:v>
      </x:c>
      <x:c r="U206" s="30" t="n">
        <x:f>E206</x:f>
        <x:v>93698.6301369863</x:v>
      </x:c>
      <x:c r="V206" s="30" t="n">
        <x:f>C206</x:f>
        <x:v>1000</x:v>
      </x:c>
      <x:c r="W206" s="30" t="n">
        <x:f>F206</x:f>
        <x:v>30000</x:v>
      </x:c>
      <x:c r="X206" s="30" t="n">
        <x:f>L206</x:f>
        <x:v>43747.94520547945</x:v>
      </x:c>
      <x:c r="Y206" s="30" t="n">
        <x:f>SUM(U206:X206)</x:f>
        <x:v>168446.57534246577</x:v>
      </x:c>
    </x:row>
    <x:row r="207">
      <x:c r="A207" t="str">
        <x:v>Short Term Contract</x:v>
      </x:c>
      <x:c r="B207" s="30" t="n">
        <x:v>1000000</x:v>
      </x:c>
      <x:c r="C207" s="30" t="n">
        <x:f>Inputs!$G$5</x:f>
        <x:v>1000</x:v>
      </x:c>
      <x:c r="D207" s="20" t="n">
        <x:f>Inputs!$G$4+VLOOKUP(M207,Inputs!$A$4:$B$7,2,FALSE)</x:f>
        <x:v>0.19</x:v>
      </x:c>
      <x:c r="E207" s="30" t="n">
        <x:f>B207*D207*N207/Inputs!$G$8</x:f>
        <x:v>93698.6301369863</x:v>
      </x:c>
      <x:c r="F207" s="30" t="n">
        <x:f>B207*Inputs!$G$6</x:f>
        <x:v>30000</x:v>
      </x:c>
      <x:c r="G207" t="str">
        <x:v>90 Days</x:v>
      </x:c>
      <x:c r="H207" s="28" t="n">
        <x:v>90</x:v>
      </x:c>
      <x:c r="I207" s="52" t="n">
        <x:f>Inputs!$G$7</x:f>
        <x:v>0.02</x:v>
      </x:c>
      <x:c r="J207" s="52" t="n">
        <x:f>I207/30</x:f>
        <x:v>0.0006666666666666666</x:v>
      </x:c>
      <x:c r="K207" s="52" t="n">
        <x:f>J207*H207</x:f>
        <x:v>0.06</x:v>
      </x:c>
      <x:c r="L207" s="30" t="n">
        <x:f>(B207+E207)*K207</x:f>
        <x:v>65621.91780821918</x:v>
      </x:c>
      <x:c r="M207" s="30" t="n">
        <x:f>E207</x:f>
        <x:v>93698.6301369863</x:v>
      </x:c>
      <x:c r="N207" s="30">
        <x:f>R207-C207-F207</x:f>
      </x:c>
      <x:c r="O207" s="20" t="str">
        <x:f>IF(ABS(D207-(Inputs!$G$4+Inputs!$B$4))&lt;0.000001,"Low Risk",IF(ABS(D207-(Inputs!$G$4+Inputs!$B$5))&lt;0.000001,"Moderate Risk",IF(ABS(D207-(Inputs!$G$4+Inputs!$B$6))&lt;0.000001,"High Risk","Worst Scenario")))</x:f>
        <x:v>High Risk</x:v>
      </x:c>
      <x:c r="P207" s="28" t="n">
        <x:f>IF(A207="Purchase Order Funding",Inputs!$G$13,IF(B207=500000,180,IF(B207=750000,365,1095)))</x:f>
        <x:v>1095</x:v>
      </x:c>
      <x:c r="Q207" s="20" t="n">
        <x:f>D207</x:f>
        <x:v>0.19</x:v>
      </x:c>
      <x:c r="R207" s="30" t="n">
        <x:f>B207+C207+E207+F207+L207</x:f>
        <x:v>1190320.5479452054</x:v>
      </x:c>
      <x:c r="S207" s="30" t="n">
        <x:f>(B207+E207)*J207</x:f>
        <x:v>729.1324200913242</x:v>
      </x:c>
      <x:c r="T207" s="30" t="n">
        <x:f>C207+E207+F207+L207</x:f>
        <x:v>190320.54794520547</x:v>
      </x:c>
      <x:c r="U207" s="30" t="n">
        <x:f>E207</x:f>
        <x:v>93698.6301369863</x:v>
      </x:c>
      <x:c r="V207" s="30" t="n">
        <x:f>C207</x:f>
        <x:v>1000</x:v>
      </x:c>
      <x:c r="W207" s="30" t="n">
        <x:f>F207</x:f>
        <x:v>30000</x:v>
      </x:c>
      <x:c r="X207" s="30" t="n">
        <x:f>L207</x:f>
        <x:v>65621.91780821918</x:v>
      </x:c>
      <x:c r="Y207" s="30" t="n">
        <x:f>SUM(U207:X207)</x:f>
        <x:v>190320.54794520547</x:v>
      </x:c>
    </x:row>
    <x:row r="208">
      <x:c r="A208" t="str">
        <x:v>Short Term Contract</x:v>
      </x:c>
      <x:c r="B208" s="30" t="n">
        <x:v>1000000</x:v>
      </x:c>
      <x:c r="C208" s="30" t="n">
        <x:f>Inputs!$G$5</x:f>
        <x:v>1000</x:v>
      </x:c>
      <x:c r="D208" s="20" t="n">
        <x:f>Inputs!$G$4+VLOOKUP(M208,Inputs!$A$4:$B$7,2,FALSE)</x:f>
        <x:v>0.19</x:v>
      </x:c>
      <x:c r="E208" s="30" t="n">
        <x:f>B208*D208*N208/Inputs!$G$8</x:f>
        <x:v>93698.6301369863</x:v>
      </x:c>
      <x:c r="F208" s="30" t="n">
        <x:f>B208*Inputs!$G$6</x:f>
        <x:v>30000</x:v>
      </x:c>
      <x:c r="G208" t="str">
        <x:v>120 Days</x:v>
      </x:c>
      <x:c r="H208" s="28" t="n">
        <x:v>120</x:v>
      </x:c>
      <x:c r="I208" s="52" t="n">
        <x:f>Inputs!$G$7</x:f>
        <x:v>0.02</x:v>
      </x:c>
      <x:c r="J208" s="52" t="n">
        <x:f>I208/30</x:f>
        <x:v>0.0006666666666666666</x:v>
      </x:c>
      <x:c r="K208" s="52" t="n">
        <x:f>J208*H208</x:f>
        <x:v>0.08</x:v>
      </x:c>
      <x:c r="L208" s="30" t="n">
        <x:f>(B208+E208)*K208</x:f>
        <x:v>87495.8904109589</x:v>
      </x:c>
      <x:c r="M208" s="30" t="n">
        <x:f>E208</x:f>
        <x:v>93698.6301369863</x:v>
      </x:c>
      <x:c r="N208" s="30">
        <x:f>R208-C208-F208</x:f>
      </x:c>
      <x:c r="O208" s="20" t="str">
        <x:f>IF(ABS(D208-(Inputs!$G$4+Inputs!$B$4))&lt;0.000001,"Low Risk",IF(ABS(D208-(Inputs!$G$4+Inputs!$B$5))&lt;0.000001,"Moderate Risk",IF(ABS(D208-(Inputs!$G$4+Inputs!$B$6))&lt;0.000001,"High Risk","Worst Scenario")))</x:f>
        <x:v>High Risk</x:v>
      </x:c>
      <x:c r="P208" s="28" t="n">
        <x:f>IF(A208="Purchase Order Funding",Inputs!$G$13,IF(B208=500000,180,IF(B208=750000,365,1095)))</x:f>
        <x:v>1095</x:v>
      </x:c>
      <x:c r="Q208" s="20" t="n">
        <x:f>D208</x:f>
        <x:v>0.19</x:v>
      </x:c>
      <x:c r="R208" s="30" t="n">
        <x:f>B208+C208+E208+F208+L208</x:f>
        <x:v>1212194.520547945</x:v>
      </x:c>
      <x:c r="S208" s="30" t="n">
        <x:f>(B208+E208)*J208</x:f>
        <x:v>729.1324200913242</x:v>
      </x:c>
      <x:c r="T208" s="30" t="n">
        <x:f>C208+E208+F208+L208</x:f>
        <x:v>212194.52054794523</x:v>
      </x:c>
      <x:c r="U208" s="30" t="n">
        <x:f>E208</x:f>
        <x:v>93698.6301369863</x:v>
      </x:c>
      <x:c r="V208" s="30" t="n">
        <x:f>C208</x:f>
        <x:v>1000</x:v>
      </x:c>
      <x:c r="W208" s="30" t="n">
        <x:f>F208</x:f>
        <x:v>30000</x:v>
      </x:c>
      <x:c r="X208" s="30" t="n">
        <x:f>L208</x:f>
        <x:v>87495.8904109589</x:v>
      </x:c>
      <x:c r="Y208" s="30" t="n">
        <x:f>SUM(U208:X208)</x:f>
        <x:v>212194.52054794523</x:v>
      </x:c>
    </x:row>
    <x:row r="209">
      <x:c r="A209" t="str">
        <x:v>Short Term Contract</x:v>
      </x:c>
      <x:c r="B209" s="30" t="n">
        <x:v>1000000</x:v>
      </x:c>
      <x:c r="C209" s="30" t="n">
        <x:f>Inputs!$G$5</x:f>
        <x:v>1000</x:v>
      </x:c>
      <x:c r="D209" s="20" t="n">
        <x:f>Inputs!$G$4+VLOOKUP(M209,Inputs!$A$4:$B$7,2,FALSE)</x:f>
        <x:v>0.21</x:v>
      </x:c>
      <x:c r="E209" s="30" t="n">
        <x:f>B209*D209*N209/Inputs!$G$8</x:f>
        <x:v>103561.64383561644</x:v>
      </x:c>
      <x:c r="F209" s="30" t="n">
        <x:f>B209*Inputs!$G$6</x:f>
        <x:v>30000</x:v>
      </x:c>
      <x:c r="G209" t="str">
        <x:v>30 Days</x:v>
      </x:c>
      <x:c r="H209" s="28" t="n">
        <x:v>30</x:v>
      </x:c>
      <x:c r="I209" s="52" t="n">
        <x:f>Inputs!$G$7</x:f>
        <x:v>0.02</x:v>
      </x:c>
      <x:c r="J209" s="52" t="n">
        <x:f>I209/30</x:f>
        <x:v>0.0006666666666666666</x:v>
      </x:c>
      <x:c r="K209" s="52" t="n">
        <x:f>J209*H209</x:f>
        <x:v>0.02</x:v>
      </x:c>
      <x:c r="L209" s="30" t="n">
        <x:f>(B209+E209)*K209</x:f>
        <x:v>22071.232876712333</x:v>
      </x:c>
      <x:c r="M209" s="30" t="n">
        <x:f>E209</x:f>
        <x:v>103561.64383561644</x:v>
      </x:c>
      <x:c r="N209" s="30">
        <x:f>R209-C209-F209</x:f>
      </x:c>
      <x:c r="O209" s="20" t="str">
        <x:f>IF(ABS(D209-(Inputs!$G$4+Inputs!$B$4))&lt;0.000001,"Low Risk",IF(ABS(D209-(Inputs!$G$4+Inputs!$B$5))&lt;0.000001,"Moderate Risk",IF(ABS(D209-(Inputs!$G$4+Inputs!$B$6))&lt;0.000001,"High Risk","Worst Scenario")))</x:f>
        <x:v>Worst Scenario</x:v>
      </x:c>
      <x:c r="P209" s="28" t="n">
        <x:f>IF(A209="Purchase Order Funding",Inputs!$G$13,IF(B209=500000,180,IF(B209=750000,365,1095)))</x:f>
        <x:v>1095</x:v>
      </x:c>
      <x:c r="Q209" s="20" t="n">
        <x:f>D209</x:f>
        <x:v>0.21</x:v>
      </x:c>
      <x:c r="R209" s="30" t="n">
        <x:f>B209+C209+E209+F209+L209</x:f>
        <x:v>1156632.8767123288</x:v>
      </x:c>
      <x:c r="S209" s="30" t="n">
        <x:f>(B209+E209)*J209</x:f>
        <x:v>735.7077625570777</x:v>
      </x:c>
      <x:c r="T209" s="30" t="n">
        <x:f>C209+E209+F209+L209</x:f>
        <x:v>156632.87671232878</x:v>
      </x:c>
      <x:c r="U209" s="30" t="n">
        <x:f>E209</x:f>
        <x:v>103561.64383561644</x:v>
      </x:c>
      <x:c r="V209" s="30" t="n">
        <x:f>C209</x:f>
        <x:v>1000</x:v>
      </x:c>
      <x:c r="W209" s="30" t="n">
        <x:f>F209</x:f>
        <x:v>30000</x:v>
      </x:c>
      <x:c r="X209" s="30" t="n">
        <x:f>L209</x:f>
        <x:v>22071.232876712333</x:v>
      </x:c>
      <x:c r="Y209" s="30" t="n">
        <x:f>SUM(U209:X209)</x:f>
        <x:v>156632.87671232878</x:v>
      </x:c>
    </x:row>
    <x:row r="210">
      <x:c r="A210" t="str">
        <x:v>Short Term Contract</x:v>
      </x:c>
      <x:c r="B210" s="30" t="n">
        <x:v>1000000</x:v>
      </x:c>
      <x:c r="C210" s="30" t="n">
        <x:f>Inputs!$G$5</x:f>
        <x:v>1000</x:v>
      </x:c>
      <x:c r="D210" s="20" t="n">
        <x:f>Inputs!$G$4+VLOOKUP(M210,Inputs!$A$4:$B$7,2,FALSE)</x:f>
        <x:v>0.21</x:v>
      </x:c>
      <x:c r="E210" s="30" t="n">
        <x:f>B210*D210*N210/Inputs!$G$8</x:f>
        <x:v>103561.64383561644</x:v>
      </x:c>
      <x:c r="F210" s="30" t="n">
        <x:f>B210*Inputs!$G$6</x:f>
        <x:v>30000</x:v>
      </x:c>
      <x:c r="G210" t="str">
        <x:v>60 Days</x:v>
      </x:c>
      <x:c r="H210" s="28" t="n">
        <x:v>60</x:v>
      </x:c>
      <x:c r="I210" s="52" t="n">
        <x:f>Inputs!$G$7</x:f>
        <x:v>0.02</x:v>
      </x:c>
      <x:c r="J210" s="52" t="n">
        <x:f>I210/30</x:f>
        <x:v>0.0006666666666666666</x:v>
      </x:c>
      <x:c r="K210" s="52" t="n">
        <x:f>J210*H210</x:f>
        <x:v>0.04</x:v>
      </x:c>
      <x:c r="L210" s="30" t="n">
        <x:f>(B210+E210)*K210</x:f>
        <x:v>44142.465753424665</x:v>
      </x:c>
      <x:c r="M210" s="30" t="n">
        <x:f>E210</x:f>
        <x:v>103561.64383561644</x:v>
      </x:c>
      <x:c r="N210" s="30">
        <x:f>R210-C210-F210</x:f>
      </x:c>
      <x:c r="O210" s="20" t="str">
        <x:f>IF(ABS(D210-(Inputs!$G$4+Inputs!$B$4))&lt;0.000001,"Low Risk",IF(ABS(D210-(Inputs!$G$4+Inputs!$B$5))&lt;0.000001,"Moderate Risk",IF(ABS(D210-(Inputs!$G$4+Inputs!$B$6))&lt;0.000001,"High Risk","Worst Scenario")))</x:f>
        <x:v>Worst Scenario</x:v>
      </x:c>
      <x:c r="P210" s="28" t="n">
        <x:f>IF(A210="Purchase Order Funding",Inputs!$G$13,IF(B210=500000,180,IF(B210=750000,365,1095)))</x:f>
        <x:v>1095</x:v>
      </x:c>
      <x:c r="Q210" s="20" t="n">
        <x:f>D210</x:f>
        <x:v>0.21</x:v>
      </x:c>
      <x:c r="R210" s="30" t="n">
        <x:f>B210+C210+E210+F210+L210</x:f>
        <x:v>1178704.1095890412</x:v>
      </x:c>
      <x:c r="S210" s="30" t="n">
        <x:f>(B210+E210)*J210</x:f>
        <x:v>735.7077625570777</x:v>
      </x:c>
      <x:c r="T210" s="30" t="n">
        <x:f>C210+E210+F210+L210</x:f>
        <x:v>178704.1095890411</x:v>
      </x:c>
      <x:c r="U210" s="30" t="n">
        <x:f>E210</x:f>
        <x:v>103561.64383561644</x:v>
      </x:c>
      <x:c r="V210" s="30" t="n">
        <x:f>C210</x:f>
        <x:v>1000</x:v>
      </x:c>
      <x:c r="W210" s="30" t="n">
        <x:f>F210</x:f>
        <x:v>30000</x:v>
      </x:c>
      <x:c r="X210" s="30" t="n">
        <x:f>L210</x:f>
        <x:v>44142.465753424665</x:v>
      </x:c>
      <x:c r="Y210" s="30" t="n">
        <x:f>SUM(U210:X210)</x:f>
        <x:v>178704.1095890411</x:v>
      </x:c>
    </x:row>
    <x:row r="211">
      <x:c r="A211" t="str">
        <x:v>Short Term Contract</x:v>
      </x:c>
      <x:c r="B211" s="30" t="n">
        <x:v>1000000</x:v>
      </x:c>
      <x:c r="C211" s="30" t="n">
        <x:f>Inputs!$G$5</x:f>
        <x:v>1000</x:v>
      </x:c>
      <x:c r="D211" s="20" t="n">
        <x:f>Inputs!$G$4+VLOOKUP(M211,Inputs!$A$4:$B$7,2,FALSE)</x:f>
        <x:v>0.21</x:v>
      </x:c>
      <x:c r="E211" s="30" t="n">
        <x:f>B211*D211*N211/Inputs!$G$8</x:f>
        <x:v>103561.64383561644</x:v>
      </x:c>
      <x:c r="F211" s="30" t="n">
        <x:f>B211*Inputs!$G$6</x:f>
        <x:v>30000</x:v>
      </x:c>
      <x:c r="G211" t="str">
        <x:v>90 Days</x:v>
      </x:c>
      <x:c r="H211" s="28" t="n">
        <x:v>90</x:v>
      </x:c>
      <x:c r="I211" s="52" t="n">
        <x:f>Inputs!$G$7</x:f>
        <x:v>0.02</x:v>
      </x:c>
      <x:c r="J211" s="52" t="n">
        <x:f>I211/30</x:f>
        <x:v>0.0006666666666666666</x:v>
      </x:c>
      <x:c r="K211" s="52" t="n">
        <x:f>J211*H211</x:f>
        <x:v>0.06</x:v>
      </x:c>
      <x:c r="L211" s="30" t="n">
        <x:f>(B211+E211)*K211</x:f>
        <x:v>66213.69863013699</x:v>
      </x:c>
      <x:c r="M211" s="30" t="n">
        <x:f>E211</x:f>
        <x:v>103561.64383561644</x:v>
      </x:c>
      <x:c r="N211" s="30">
        <x:f>R211-C211-F211</x:f>
      </x:c>
      <x:c r="O211" s="20" t="str">
        <x:f>IF(ABS(D211-(Inputs!$G$4+Inputs!$B$4))&lt;0.000001,"Low Risk",IF(ABS(D211-(Inputs!$G$4+Inputs!$B$5))&lt;0.000001,"Moderate Risk",IF(ABS(D211-(Inputs!$G$4+Inputs!$B$6))&lt;0.000001,"High Risk","Worst Scenario")))</x:f>
        <x:v>Worst Scenario</x:v>
      </x:c>
      <x:c r="P211" s="28" t="n">
        <x:f>IF(A211="Purchase Order Funding",Inputs!$G$13,IF(B211=500000,180,IF(B211=750000,365,1095)))</x:f>
        <x:v>1095</x:v>
      </x:c>
      <x:c r="Q211" s="20" t="n">
        <x:f>D211</x:f>
        <x:v>0.21</x:v>
      </x:c>
      <x:c r="R211" s="30" t="n">
        <x:f>B211+C211+E211+F211+L211</x:f>
        <x:v>1200775.3424657534</x:v>
      </x:c>
      <x:c r="S211" s="30" t="n">
        <x:f>(B211+E211)*J211</x:f>
        <x:v>735.7077625570777</x:v>
      </x:c>
      <x:c r="T211" s="30" t="n">
        <x:f>C211+E211+F211+L211</x:f>
        <x:v>200775.34246575343</x:v>
      </x:c>
      <x:c r="U211" s="30" t="n">
        <x:f>E211</x:f>
        <x:v>103561.64383561644</x:v>
      </x:c>
      <x:c r="V211" s="30" t="n">
        <x:f>C211</x:f>
        <x:v>1000</x:v>
      </x:c>
      <x:c r="W211" s="30" t="n">
        <x:f>F211</x:f>
        <x:v>30000</x:v>
      </x:c>
      <x:c r="X211" s="30" t="n">
        <x:f>L211</x:f>
        <x:v>66213.69863013699</x:v>
      </x:c>
      <x:c r="Y211" s="30" t="n">
        <x:f>SUM(U211:X211)</x:f>
        <x:v>200775.34246575343</x:v>
      </x:c>
    </x:row>
    <x:row r="212">
      <x:c r="A212" t="str">
        <x:v>Short Term Contract</x:v>
      </x:c>
      <x:c r="B212" s="30" t="n">
        <x:v>1000000</x:v>
      </x:c>
      <x:c r="C212" s="30" t="n">
        <x:f>Inputs!$G$5</x:f>
        <x:v>1000</x:v>
      </x:c>
      <x:c r="D212" s="20" t="n">
        <x:f>Inputs!$G$4+VLOOKUP(M212,Inputs!$A$4:$B$7,2,FALSE)</x:f>
        <x:v>0.21</x:v>
      </x:c>
      <x:c r="E212" s="30" t="n">
        <x:f>B212*D212*N212/Inputs!$G$8</x:f>
        <x:v>103561.64383561644</x:v>
      </x:c>
      <x:c r="F212" s="30" t="n">
        <x:f>B212*Inputs!$G$6</x:f>
        <x:v>30000</x:v>
      </x:c>
      <x:c r="G212" t="str">
        <x:v>120 Days</x:v>
      </x:c>
      <x:c r="H212" s="28" t="n">
        <x:v>120</x:v>
      </x:c>
      <x:c r="I212" s="52" t="n">
        <x:f>Inputs!$G$7</x:f>
        <x:v>0.02</x:v>
      </x:c>
      <x:c r="J212" s="52" t="n">
        <x:f>I212/30</x:f>
        <x:v>0.0006666666666666666</x:v>
      </x:c>
      <x:c r="K212" s="52" t="n">
        <x:f>J212*H212</x:f>
        <x:v>0.08</x:v>
      </x:c>
      <x:c r="L212" s="30" t="n">
        <x:f>(B212+E212)*K212</x:f>
        <x:v>88284.93150684933</x:v>
      </x:c>
      <x:c r="M212" s="30" t="n">
        <x:f>E212</x:f>
        <x:v>103561.64383561644</x:v>
      </x:c>
      <x:c r="N212" s="30">
        <x:f>R212-C212-F212</x:f>
      </x:c>
      <x:c r="O212" s="20" t="str">
        <x:f>IF(ABS(D212-(Inputs!$G$4+Inputs!$B$4))&lt;0.000001,"Low Risk",IF(ABS(D212-(Inputs!$G$4+Inputs!$B$5))&lt;0.000001,"Moderate Risk",IF(ABS(D212-(Inputs!$G$4+Inputs!$B$6))&lt;0.000001,"High Risk","Worst Scenario")))</x:f>
        <x:v>Worst Scenario</x:v>
      </x:c>
      <x:c r="P212" s="28" t="n">
        <x:f>IF(A212="Purchase Order Funding",Inputs!$G$13,IF(B212=500000,180,IF(B212=750000,365,1095)))</x:f>
        <x:v>1095</x:v>
      </x:c>
      <x:c r="Q212" s="20" t="n">
        <x:f>D212</x:f>
        <x:v>0.21</x:v>
      </x:c>
      <x:c r="R212" s="30" t="n">
        <x:f>B212+C212+E212+F212+L212</x:f>
        <x:v>1222846.575342466</x:v>
      </x:c>
      <x:c r="S212" s="30" t="n">
        <x:f>(B212+E212)*J212</x:f>
        <x:v>735.7077625570777</x:v>
      </x:c>
      <x:c r="T212" s="30" t="n">
        <x:f>C212+E212+F212+L212</x:f>
        <x:v>222846.57534246577</x:v>
      </x:c>
      <x:c r="U212" s="30" t="n">
        <x:f>E212</x:f>
        <x:v>103561.64383561644</x:v>
      </x:c>
      <x:c r="V212" s="30" t="n">
        <x:f>C212</x:f>
        <x:v>1000</x:v>
      </x:c>
      <x:c r="W212" s="30" t="n">
        <x:f>F212</x:f>
        <x:v>30000</x:v>
      </x:c>
      <x:c r="X212" s="30" t="n">
        <x:f>L212</x:f>
        <x:v>88284.93150684933</x:v>
      </x:c>
      <x:c r="Y212" s="30" t="n">
        <x:f>SUM(U212:X212)</x:f>
        <x:v>222846.57534246577</x:v>
      </x:c>
    </x:row>
    <x:row r="213">
      <x:c r="A213" t="str">
        <x:v>Short Term Contract</x:v>
      </x:c>
      <x:c r="B213" s="30" t="n">
        <x:v>1000000</x:v>
      </x:c>
      <x:c r="C213" s="30" t="n">
        <x:f>Inputs!$G$5</x:f>
        <x:v>1000</x:v>
      </x:c>
      <x:c r="D213" s="20" t="n">
        <x:f>Inputs!$G$4+VLOOKUP(M213,Inputs!$A$4:$B$7,2,FALSE)</x:f>
        <x:v>0.155</x:v>
      </x:c>
      <x:c r="E213" s="30" t="n">
        <x:f>B213*D213*N213/Inputs!$G$8</x:f>
        <x:v>155000</x:v>
      </x:c>
      <x:c r="F213" s="30" t="n">
        <x:f>B213*Inputs!$G$6</x:f>
        <x:v>30000</x:v>
      </x:c>
      <x:c r="G213" t="str">
        <x:v>30 Days</x:v>
      </x:c>
      <x:c r="H213" s="28" t="n">
        <x:v>30</x:v>
      </x:c>
      <x:c r="I213" s="52" t="n">
        <x:f>Inputs!$G$7</x:f>
        <x:v>0.02</x:v>
      </x:c>
      <x:c r="J213" s="52" t="n">
        <x:f>I213/30</x:f>
        <x:v>0.0006666666666666666</x:v>
      </x:c>
      <x:c r="K213" s="52" t="n">
        <x:f>J213*H213</x:f>
        <x:v>0.02</x:v>
      </x:c>
      <x:c r="L213" s="30" t="n">
        <x:f>(B213+E213)*K213</x:f>
        <x:v>23100</x:v>
      </x:c>
      <x:c r="M213" s="30" t="n">
        <x:f>E213</x:f>
        <x:v>155000</x:v>
      </x:c>
      <x:c r="N213" s="30">
        <x:f>R213-C213-F213</x:f>
      </x:c>
      <x:c r="O213" s="20" t="str">
        <x:f>IF(ABS(D213-(Inputs!$G$4+Inputs!$B$4))&lt;0.000001,"Low Risk",IF(ABS(D213-(Inputs!$G$4+Inputs!$B$5))&lt;0.000001,"Moderate Risk",IF(ABS(D213-(Inputs!$G$4+Inputs!$B$6))&lt;0.000001,"High Risk","Worst Scenario")))</x:f>
        <x:v>Low Risk</x:v>
      </x:c>
      <x:c r="P213" s="28" t="n">
        <x:f>IF(A213="Purchase Order Funding",Inputs!$G$13,IF(B213=500000,180,IF(B213=750000,365,1095)))</x:f>
        <x:v>1095</x:v>
      </x:c>
      <x:c r="Q213" s="20" t="n">
        <x:f>D213</x:f>
        <x:v>0.155</x:v>
      </x:c>
      <x:c r="R213" s="30" t="n">
        <x:f>B213+C213+E213+F213+L213</x:f>
        <x:v>1209100</x:v>
      </x:c>
      <x:c r="S213" s="30" t="n">
        <x:f>(B213+E213)*J213</x:f>
        <x:v>770</x:v>
      </x:c>
      <x:c r="T213" s="30" t="n">
        <x:f>C213+E213+F213+L213</x:f>
        <x:v>209100</x:v>
      </x:c>
      <x:c r="U213" s="30" t="n">
        <x:f>E213</x:f>
        <x:v>155000</x:v>
      </x:c>
      <x:c r="V213" s="30" t="n">
        <x:f>C213</x:f>
        <x:v>1000</x:v>
      </x:c>
      <x:c r="W213" s="30" t="n">
        <x:f>F213</x:f>
        <x:v>30000</x:v>
      </x:c>
      <x:c r="X213" s="30" t="n">
        <x:f>L213</x:f>
        <x:v>23100</x:v>
      </x:c>
      <x:c r="Y213" s="30" t="n">
        <x:f>SUM(U213:X213)</x:f>
        <x:v>209100</x:v>
      </x:c>
    </x:row>
    <x:row r="214">
      <x:c r="A214" t="str">
        <x:v>Short Term Contract</x:v>
      </x:c>
      <x:c r="B214" s="30" t="n">
        <x:v>1000000</x:v>
      </x:c>
      <x:c r="C214" s="30" t="n">
        <x:f>Inputs!$G$5</x:f>
        <x:v>1000</x:v>
      </x:c>
      <x:c r="D214" s="20" t="n">
        <x:f>Inputs!$G$4+VLOOKUP(M214,Inputs!$A$4:$B$7,2,FALSE)</x:f>
        <x:v>0.155</x:v>
      </x:c>
      <x:c r="E214" s="30" t="n">
        <x:f>B214*D214*N214/Inputs!$G$8</x:f>
        <x:v>155000</x:v>
      </x:c>
      <x:c r="F214" s="30" t="n">
        <x:f>B214*Inputs!$G$6</x:f>
        <x:v>30000</x:v>
      </x:c>
      <x:c r="G214" t="str">
        <x:v>60 Days</x:v>
      </x:c>
      <x:c r="H214" s="28" t="n">
        <x:v>60</x:v>
      </x:c>
      <x:c r="I214" s="52" t="n">
        <x:f>Inputs!$G$7</x:f>
        <x:v>0.02</x:v>
      </x:c>
      <x:c r="J214" s="52" t="n">
        <x:f>I214/30</x:f>
        <x:v>0.0006666666666666666</x:v>
      </x:c>
      <x:c r="K214" s="52" t="n">
        <x:f>J214*H214</x:f>
        <x:v>0.04</x:v>
      </x:c>
      <x:c r="L214" s="30" t="n">
        <x:f>(B214+E214)*K214</x:f>
        <x:v>46200</x:v>
      </x:c>
      <x:c r="M214" s="30" t="n">
        <x:f>E214</x:f>
        <x:v>155000</x:v>
      </x:c>
      <x:c r="N214" s="30">
        <x:f>R214-C214-F214</x:f>
      </x:c>
      <x:c r="O214" s="20" t="str">
        <x:f>IF(ABS(D214-(Inputs!$G$4+Inputs!$B$4))&lt;0.000001,"Low Risk",IF(ABS(D214-(Inputs!$G$4+Inputs!$B$5))&lt;0.000001,"Moderate Risk",IF(ABS(D214-(Inputs!$G$4+Inputs!$B$6))&lt;0.000001,"High Risk","Worst Scenario")))</x:f>
        <x:v>Low Risk</x:v>
      </x:c>
      <x:c r="P214" s="28" t="n">
        <x:f>IF(A214="Purchase Order Funding",Inputs!$G$13,IF(B214=500000,180,IF(B214=750000,365,1095)))</x:f>
        <x:v>1095</x:v>
      </x:c>
      <x:c r="Q214" s="20" t="n">
        <x:f>D214</x:f>
        <x:v>0.155</x:v>
      </x:c>
      <x:c r="R214" s="30" t="n">
        <x:f>B214+C214+E214+F214+L214</x:f>
        <x:v>1232200</x:v>
      </x:c>
      <x:c r="S214" s="30" t="n">
        <x:f>(B214+E214)*J214</x:f>
        <x:v>770</x:v>
      </x:c>
      <x:c r="T214" s="30" t="n">
        <x:f>C214+E214+F214+L214</x:f>
        <x:v>232200</x:v>
      </x:c>
      <x:c r="U214" s="30" t="n">
        <x:f>E214</x:f>
        <x:v>155000</x:v>
      </x:c>
      <x:c r="V214" s="30" t="n">
        <x:f>C214</x:f>
        <x:v>1000</x:v>
      </x:c>
      <x:c r="W214" s="30" t="n">
        <x:f>F214</x:f>
        <x:v>30000</x:v>
      </x:c>
      <x:c r="X214" s="30" t="n">
        <x:f>L214</x:f>
        <x:v>46200</x:v>
      </x:c>
      <x:c r="Y214" s="30" t="n">
        <x:f>SUM(U214:X214)</x:f>
        <x:v>232200</x:v>
      </x:c>
    </x:row>
    <x:row r="215">
      <x:c r="A215" t="str">
        <x:v>Short Term Contract</x:v>
      </x:c>
      <x:c r="B215" s="30" t="n">
        <x:v>1000000</x:v>
      </x:c>
      <x:c r="C215" s="30" t="n">
        <x:f>Inputs!$G$5</x:f>
        <x:v>1000</x:v>
      </x:c>
      <x:c r="D215" s="20" t="n">
        <x:f>Inputs!$G$4+VLOOKUP(M215,Inputs!$A$4:$B$7,2,FALSE)</x:f>
        <x:v>0.155</x:v>
      </x:c>
      <x:c r="E215" s="30" t="n">
        <x:f>B215*D215*N215/Inputs!$G$8</x:f>
        <x:v>155000</x:v>
      </x:c>
      <x:c r="F215" s="30" t="n">
        <x:f>B215*Inputs!$G$6</x:f>
        <x:v>30000</x:v>
      </x:c>
      <x:c r="G215" t="str">
        <x:v>90 Days</x:v>
      </x:c>
      <x:c r="H215" s="28" t="n">
        <x:v>90</x:v>
      </x:c>
      <x:c r="I215" s="52" t="n">
        <x:f>Inputs!$G$7</x:f>
        <x:v>0.02</x:v>
      </x:c>
      <x:c r="J215" s="52" t="n">
        <x:f>I215/30</x:f>
        <x:v>0.0006666666666666666</x:v>
      </x:c>
      <x:c r="K215" s="52" t="n">
        <x:f>J215*H215</x:f>
        <x:v>0.06</x:v>
      </x:c>
      <x:c r="L215" s="30" t="n">
        <x:f>(B215+E215)*K215</x:f>
        <x:v>69300</x:v>
      </x:c>
      <x:c r="M215" s="30" t="n">
        <x:f>E215</x:f>
        <x:v>155000</x:v>
      </x:c>
      <x:c r="N215" s="30">
        <x:f>R215-C215-F215</x:f>
      </x:c>
      <x:c r="O215" s="20" t="str">
        <x:f>IF(ABS(D215-(Inputs!$G$4+Inputs!$B$4))&lt;0.000001,"Low Risk",IF(ABS(D215-(Inputs!$G$4+Inputs!$B$5))&lt;0.000001,"Moderate Risk",IF(ABS(D215-(Inputs!$G$4+Inputs!$B$6))&lt;0.000001,"High Risk","Worst Scenario")))</x:f>
        <x:v>Low Risk</x:v>
      </x:c>
      <x:c r="P215" s="28" t="n">
        <x:f>IF(A215="Purchase Order Funding",Inputs!$G$13,IF(B215=500000,180,IF(B215=750000,365,1095)))</x:f>
        <x:v>1095</x:v>
      </x:c>
      <x:c r="Q215" s="20" t="n">
        <x:f>D215</x:f>
        <x:v>0.155</x:v>
      </x:c>
      <x:c r="R215" s="30" t="n">
        <x:f>B215+C215+E215+F215+L215</x:f>
        <x:v>1255300</x:v>
      </x:c>
      <x:c r="S215" s="30" t="n">
        <x:f>(B215+E215)*J215</x:f>
        <x:v>770</x:v>
      </x:c>
      <x:c r="T215" s="30" t="n">
        <x:f>C215+E215+F215+L215</x:f>
        <x:v>255300</x:v>
      </x:c>
      <x:c r="U215" s="30" t="n">
        <x:f>E215</x:f>
        <x:v>155000</x:v>
      </x:c>
      <x:c r="V215" s="30" t="n">
        <x:f>C215</x:f>
        <x:v>1000</x:v>
      </x:c>
      <x:c r="W215" s="30" t="n">
        <x:f>F215</x:f>
        <x:v>30000</x:v>
      </x:c>
      <x:c r="X215" s="30" t="n">
        <x:f>L215</x:f>
        <x:v>69300</x:v>
      </x:c>
      <x:c r="Y215" s="30" t="n">
        <x:f>SUM(U215:X215)</x:f>
        <x:v>255300</x:v>
      </x:c>
    </x:row>
    <x:row r="216">
      <x:c r="A216" t="str">
        <x:v>Short Term Contract</x:v>
      </x:c>
      <x:c r="B216" s="30" t="n">
        <x:v>1000000</x:v>
      </x:c>
      <x:c r="C216" s="30" t="n">
        <x:f>Inputs!$G$5</x:f>
        <x:v>1000</x:v>
      </x:c>
      <x:c r="D216" s="20" t="n">
        <x:f>Inputs!$G$4+VLOOKUP(M216,Inputs!$A$4:$B$7,2,FALSE)</x:f>
        <x:v>0.155</x:v>
      </x:c>
      <x:c r="E216" s="30" t="n">
        <x:f>B216*D216*N216/Inputs!$G$8</x:f>
        <x:v>155000</x:v>
      </x:c>
      <x:c r="F216" s="30" t="n">
        <x:f>B216*Inputs!$G$6</x:f>
        <x:v>30000</x:v>
      </x:c>
      <x:c r="G216" t="str">
        <x:v>120 Days</x:v>
      </x:c>
      <x:c r="H216" s="28" t="n">
        <x:v>120</x:v>
      </x:c>
      <x:c r="I216" s="52" t="n">
        <x:f>Inputs!$G$7</x:f>
        <x:v>0.02</x:v>
      </x:c>
      <x:c r="J216" s="52" t="n">
        <x:f>I216/30</x:f>
        <x:v>0.0006666666666666666</x:v>
      </x:c>
      <x:c r="K216" s="52" t="n">
        <x:f>J216*H216</x:f>
        <x:v>0.08</x:v>
      </x:c>
      <x:c r="L216" s="30" t="n">
        <x:f>(B216+E216)*K216</x:f>
        <x:v>92400</x:v>
      </x:c>
      <x:c r="M216" s="30" t="n">
        <x:f>E216</x:f>
        <x:v>155000</x:v>
      </x:c>
      <x:c r="N216" s="30">
        <x:f>R216-C216-F216</x:f>
      </x:c>
      <x:c r="O216" s="20" t="str">
        <x:f>IF(ABS(D216-(Inputs!$G$4+Inputs!$B$4))&lt;0.000001,"Low Risk",IF(ABS(D216-(Inputs!$G$4+Inputs!$B$5))&lt;0.000001,"Moderate Risk",IF(ABS(D216-(Inputs!$G$4+Inputs!$B$6))&lt;0.000001,"High Risk","Worst Scenario")))</x:f>
        <x:v>Low Risk</x:v>
      </x:c>
      <x:c r="P216" s="28" t="n">
        <x:f>IF(A216="Purchase Order Funding",Inputs!$G$13,IF(B216=500000,180,IF(B216=750000,365,1095)))</x:f>
        <x:v>1095</x:v>
      </x:c>
      <x:c r="Q216" s="20" t="n">
        <x:f>D216</x:f>
        <x:v>0.155</x:v>
      </x:c>
      <x:c r="R216" s="30" t="n">
        <x:f>B216+C216+E216+F216+L216</x:f>
        <x:v>1278400</x:v>
      </x:c>
      <x:c r="S216" s="30" t="n">
        <x:f>(B216+E216)*J216</x:f>
        <x:v>770</x:v>
      </x:c>
      <x:c r="T216" s="30" t="n">
        <x:f>C216+E216+F216+L216</x:f>
        <x:v>278400</x:v>
      </x:c>
      <x:c r="U216" s="30" t="n">
        <x:f>E216</x:f>
        <x:v>155000</x:v>
      </x:c>
      <x:c r="V216" s="30" t="n">
        <x:f>C216</x:f>
        <x:v>1000</x:v>
      </x:c>
      <x:c r="W216" s="30" t="n">
        <x:f>F216</x:f>
        <x:v>30000</x:v>
      </x:c>
      <x:c r="X216" s="30" t="n">
        <x:f>L216</x:f>
        <x:v>92400</x:v>
      </x:c>
      <x:c r="Y216" s="30" t="n">
        <x:f>SUM(U216:X216)</x:f>
        <x:v>278400</x:v>
      </x:c>
    </x:row>
    <x:row r="217">
      <x:c r="A217" t="str">
        <x:v>Short Term Contract</x:v>
      </x:c>
      <x:c r="B217" s="30" t="n">
        <x:v>1000000</x:v>
      </x:c>
      <x:c r="C217" s="30" t="n">
        <x:f>Inputs!$G$5</x:f>
        <x:v>1000</x:v>
      </x:c>
      <x:c r="D217" s="20" t="n">
        <x:f>Inputs!$G$4+VLOOKUP(M217,Inputs!$A$4:$B$7,2,FALSE)</x:f>
        <x:v>0.16999999999999998</x:v>
      </x:c>
      <x:c r="E217" s="30" t="n">
        <x:f>B217*D217*N217/Inputs!$G$8</x:f>
        <x:v>169999.99999999997</x:v>
      </x:c>
      <x:c r="F217" s="30" t="n">
        <x:f>B217*Inputs!$G$6</x:f>
        <x:v>30000</x:v>
      </x:c>
      <x:c r="G217" t="str">
        <x:v>30 Days</x:v>
      </x:c>
      <x:c r="H217" s="28" t="n">
        <x:v>30</x:v>
      </x:c>
      <x:c r="I217" s="52" t="n">
        <x:f>Inputs!$G$7</x:f>
        <x:v>0.02</x:v>
      </x:c>
      <x:c r="J217" s="52" t="n">
        <x:f>I217/30</x:f>
        <x:v>0.0006666666666666666</x:v>
      </x:c>
      <x:c r="K217" s="52" t="n">
        <x:f>J217*H217</x:f>
        <x:v>0.02</x:v>
      </x:c>
      <x:c r="L217" s="30" t="n">
        <x:f>(B217+E217)*K217</x:f>
        <x:v>23400</x:v>
      </x:c>
      <x:c r="M217" s="30" t="n">
        <x:f>E217</x:f>
        <x:v>169999.99999999997</x:v>
      </x:c>
      <x:c r="N217" s="30">
        <x:f>R217-C217-F217</x:f>
      </x:c>
      <x:c r="O217" s="20" t="str">
        <x:f>IF(ABS(D217-(Inputs!$G$4+Inputs!$B$4))&lt;0.000001,"Low Risk",IF(ABS(D217-(Inputs!$G$4+Inputs!$B$5))&lt;0.000001,"Moderate Risk",IF(ABS(D217-(Inputs!$G$4+Inputs!$B$6))&lt;0.000001,"High Risk","Worst Scenario")))</x:f>
        <x:v>Moderate Risk</x:v>
      </x:c>
      <x:c r="P217" s="28" t="n">
        <x:f>IF(A217="Purchase Order Funding",Inputs!$G$13,IF(B217=500000,180,IF(B217=750000,365,1095)))</x:f>
        <x:v>1095</x:v>
      </x:c>
      <x:c r="Q217" s="20" t="n">
        <x:f>D217</x:f>
        <x:v>0.16999999999999998</x:v>
      </x:c>
      <x:c r="R217" s="30" t="n">
        <x:f>B217+C217+E217+F217+L217</x:f>
        <x:v>1224400</x:v>
      </x:c>
      <x:c r="S217" s="30" t="n">
        <x:f>(B217+E217)*J217</x:f>
        <x:v>780</x:v>
      </x:c>
      <x:c r="T217" s="30" t="n">
        <x:f>C217+E217+F217+L217</x:f>
        <x:v>224399.99999999997</x:v>
      </x:c>
      <x:c r="U217" s="30" t="n">
        <x:f>E217</x:f>
        <x:v>169999.99999999997</x:v>
      </x:c>
      <x:c r="V217" s="30" t="n">
        <x:f>C217</x:f>
        <x:v>1000</x:v>
      </x:c>
      <x:c r="W217" s="30" t="n">
        <x:f>F217</x:f>
        <x:v>30000</x:v>
      </x:c>
      <x:c r="X217" s="30" t="n">
        <x:f>L217</x:f>
        <x:v>23400</x:v>
      </x:c>
      <x:c r="Y217" s="30" t="n">
        <x:f>SUM(U217:X217)</x:f>
        <x:v>224399.99999999997</x:v>
      </x:c>
    </x:row>
    <x:row r="218">
      <x:c r="A218" t="str">
        <x:v>Short Term Contract</x:v>
      </x:c>
      <x:c r="B218" s="30" t="n">
        <x:v>1000000</x:v>
      </x:c>
      <x:c r="C218" s="30" t="n">
        <x:f>Inputs!$G$5</x:f>
        <x:v>1000</x:v>
      </x:c>
      <x:c r="D218" s="20" t="n">
        <x:f>Inputs!$G$4+VLOOKUP(M218,Inputs!$A$4:$B$7,2,FALSE)</x:f>
        <x:v>0.16999999999999998</x:v>
      </x:c>
      <x:c r="E218" s="30" t="n">
        <x:f>B218*D218*N218/Inputs!$G$8</x:f>
        <x:v>169999.99999999997</x:v>
      </x:c>
      <x:c r="F218" s="30" t="n">
        <x:f>B218*Inputs!$G$6</x:f>
        <x:v>30000</x:v>
      </x:c>
      <x:c r="G218" t="str">
        <x:v>60 Days</x:v>
      </x:c>
      <x:c r="H218" s="28" t="n">
        <x:v>60</x:v>
      </x:c>
      <x:c r="I218" s="52" t="n">
        <x:f>Inputs!$G$7</x:f>
        <x:v>0.02</x:v>
      </x:c>
      <x:c r="J218" s="52" t="n">
        <x:f>I218/30</x:f>
        <x:v>0.0006666666666666666</x:v>
      </x:c>
      <x:c r="K218" s="52" t="n">
        <x:f>J218*H218</x:f>
        <x:v>0.04</x:v>
      </x:c>
      <x:c r="L218" s="30" t="n">
        <x:f>(B218+E218)*K218</x:f>
        <x:v>46800</x:v>
      </x:c>
      <x:c r="M218" s="30" t="n">
        <x:f>E218</x:f>
        <x:v>169999.99999999997</x:v>
      </x:c>
      <x:c r="N218" s="30">
        <x:f>R218-C218-F218</x:f>
      </x:c>
      <x:c r="O218" s="20" t="str">
        <x:f>IF(ABS(D218-(Inputs!$G$4+Inputs!$B$4))&lt;0.000001,"Low Risk",IF(ABS(D218-(Inputs!$G$4+Inputs!$B$5))&lt;0.000001,"Moderate Risk",IF(ABS(D218-(Inputs!$G$4+Inputs!$B$6))&lt;0.000001,"High Risk","Worst Scenario")))</x:f>
        <x:v>Moderate Risk</x:v>
      </x:c>
      <x:c r="P218" s="28" t="n">
        <x:f>IF(A218="Purchase Order Funding",Inputs!$G$13,IF(B218=500000,180,IF(B218=750000,365,1095)))</x:f>
        <x:v>1095</x:v>
      </x:c>
      <x:c r="Q218" s="20" t="n">
        <x:f>D218</x:f>
        <x:v>0.16999999999999998</x:v>
      </x:c>
      <x:c r="R218" s="30" t="n">
        <x:f>B218+C218+E218+F218+L218</x:f>
        <x:v>1247800</x:v>
      </x:c>
      <x:c r="S218" s="30" t="n">
        <x:f>(B218+E218)*J218</x:f>
        <x:v>780</x:v>
      </x:c>
      <x:c r="T218" s="30" t="n">
        <x:f>C218+E218+F218+L218</x:f>
        <x:v>247799.99999999997</x:v>
      </x:c>
      <x:c r="U218" s="30" t="n">
        <x:f>E218</x:f>
        <x:v>169999.99999999997</x:v>
      </x:c>
      <x:c r="V218" s="30" t="n">
        <x:f>C218</x:f>
        <x:v>1000</x:v>
      </x:c>
      <x:c r="W218" s="30" t="n">
        <x:f>F218</x:f>
        <x:v>30000</x:v>
      </x:c>
      <x:c r="X218" s="30" t="n">
        <x:f>L218</x:f>
        <x:v>46800</x:v>
      </x:c>
      <x:c r="Y218" s="30" t="n">
        <x:f>SUM(U218:X218)</x:f>
        <x:v>247799.99999999997</x:v>
      </x:c>
    </x:row>
    <x:row r="219">
      <x:c r="A219" t="str">
        <x:v>Short Term Contract</x:v>
      </x:c>
      <x:c r="B219" s="30" t="n">
        <x:v>1000000</x:v>
      </x:c>
      <x:c r="C219" s="30" t="n">
        <x:f>Inputs!$G$5</x:f>
        <x:v>1000</x:v>
      </x:c>
      <x:c r="D219" s="20" t="n">
        <x:f>Inputs!$G$4+VLOOKUP(M219,Inputs!$A$4:$B$7,2,FALSE)</x:f>
        <x:v>0.16999999999999998</x:v>
      </x:c>
      <x:c r="E219" s="30" t="n">
        <x:f>B219*D219*N219/Inputs!$G$8</x:f>
        <x:v>169999.99999999997</x:v>
      </x:c>
      <x:c r="F219" s="30" t="n">
        <x:f>B219*Inputs!$G$6</x:f>
        <x:v>30000</x:v>
      </x:c>
      <x:c r="G219" t="str">
        <x:v>90 Days</x:v>
      </x:c>
      <x:c r="H219" s="28" t="n">
        <x:v>90</x:v>
      </x:c>
      <x:c r="I219" s="52" t="n">
        <x:f>Inputs!$G$7</x:f>
        <x:v>0.02</x:v>
      </x:c>
      <x:c r="J219" s="52" t="n">
        <x:f>I219/30</x:f>
        <x:v>0.0006666666666666666</x:v>
      </x:c>
      <x:c r="K219" s="52" t="n">
        <x:f>J219*H219</x:f>
        <x:v>0.06</x:v>
      </x:c>
      <x:c r="L219" s="30" t="n">
        <x:f>(B219+E219)*K219</x:f>
        <x:v>70200</x:v>
      </x:c>
      <x:c r="M219" s="30" t="n">
        <x:f>E219</x:f>
        <x:v>169999.99999999997</x:v>
      </x:c>
      <x:c r="N219" s="30">
        <x:f>R219-C219-F219</x:f>
      </x:c>
      <x:c r="O219" s="20" t="str">
        <x:f>IF(ABS(D219-(Inputs!$G$4+Inputs!$B$4))&lt;0.000001,"Low Risk",IF(ABS(D219-(Inputs!$G$4+Inputs!$B$5))&lt;0.000001,"Moderate Risk",IF(ABS(D219-(Inputs!$G$4+Inputs!$B$6))&lt;0.000001,"High Risk","Worst Scenario")))</x:f>
        <x:v>Moderate Risk</x:v>
      </x:c>
      <x:c r="P219" s="28" t="n">
        <x:f>IF(A219="Purchase Order Funding",Inputs!$G$13,IF(B219=500000,180,IF(B219=750000,365,1095)))</x:f>
        <x:v>1095</x:v>
      </x:c>
      <x:c r="Q219" s="20" t="n">
        <x:f>D219</x:f>
        <x:v>0.16999999999999998</x:v>
      </x:c>
      <x:c r="R219" s="30" t="n">
        <x:f>B219+C219+E219+F219+L219</x:f>
        <x:v>1271200</x:v>
      </x:c>
      <x:c r="S219" s="30" t="n">
        <x:f>(B219+E219)*J219</x:f>
        <x:v>780</x:v>
      </x:c>
      <x:c r="T219" s="30" t="n">
        <x:f>C219+E219+F219+L219</x:f>
        <x:v>271200</x:v>
      </x:c>
      <x:c r="U219" s="30" t="n">
        <x:f>E219</x:f>
        <x:v>169999.99999999997</x:v>
      </x:c>
      <x:c r="V219" s="30" t="n">
        <x:f>C219</x:f>
        <x:v>1000</x:v>
      </x:c>
      <x:c r="W219" s="30" t="n">
        <x:f>F219</x:f>
        <x:v>30000</x:v>
      </x:c>
      <x:c r="X219" s="30" t="n">
        <x:f>L219</x:f>
        <x:v>70200</x:v>
      </x:c>
      <x:c r="Y219" s="30" t="n">
        <x:f>SUM(U219:X219)</x:f>
        <x:v>271200</x:v>
      </x:c>
    </x:row>
    <x:row r="220">
      <x:c r="A220" t="str">
        <x:v>Short Term Contract</x:v>
      </x:c>
      <x:c r="B220" s="30" t="n">
        <x:v>1000000</x:v>
      </x:c>
      <x:c r="C220" s="30" t="n">
        <x:f>Inputs!$G$5</x:f>
        <x:v>1000</x:v>
      </x:c>
      <x:c r="D220" s="20" t="n">
        <x:f>Inputs!$G$4+VLOOKUP(M220,Inputs!$A$4:$B$7,2,FALSE)</x:f>
        <x:v>0.16999999999999998</x:v>
      </x:c>
      <x:c r="E220" s="30" t="n">
        <x:f>B220*D220*N220/Inputs!$G$8</x:f>
        <x:v>169999.99999999997</x:v>
      </x:c>
      <x:c r="F220" s="30" t="n">
        <x:f>B220*Inputs!$G$6</x:f>
        <x:v>30000</x:v>
      </x:c>
      <x:c r="G220" t="str">
        <x:v>120 Days</x:v>
      </x:c>
      <x:c r="H220" s="28" t="n">
        <x:v>120</x:v>
      </x:c>
      <x:c r="I220" s="52" t="n">
        <x:f>Inputs!$G$7</x:f>
        <x:v>0.02</x:v>
      </x:c>
      <x:c r="J220" s="52" t="n">
        <x:f>I220/30</x:f>
        <x:v>0.0006666666666666666</x:v>
      </x:c>
      <x:c r="K220" s="52" t="n">
        <x:f>J220*H220</x:f>
        <x:v>0.08</x:v>
      </x:c>
      <x:c r="L220" s="30" t="n">
        <x:f>(B220+E220)*K220</x:f>
        <x:v>93600</x:v>
      </x:c>
      <x:c r="M220" s="30" t="n">
        <x:f>E220</x:f>
        <x:v>169999.99999999997</x:v>
      </x:c>
      <x:c r="N220" s="30">
        <x:f>R220-C220-F220</x:f>
      </x:c>
      <x:c r="O220" s="20" t="str">
        <x:f>IF(ABS(D220-(Inputs!$G$4+Inputs!$B$4))&lt;0.000001,"Low Risk",IF(ABS(D220-(Inputs!$G$4+Inputs!$B$5))&lt;0.000001,"Moderate Risk",IF(ABS(D220-(Inputs!$G$4+Inputs!$B$6))&lt;0.000001,"High Risk","Worst Scenario")))</x:f>
        <x:v>Moderate Risk</x:v>
      </x:c>
      <x:c r="P220" s="28" t="n">
        <x:f>IF(A220="Purchase Order Funding",Inputs!$G$13,IF(B220=500000,180,IF(B220=750000,365,1095)))</x:f>
        <x:v>1095</x:v>
      </x:c>
      <x:c r="Q220" s="20" t="n">
        <x:f>D220</x:f>
        <x:v>0.16999999999999998</x:v>
      </x:c>
      <x:c r="R220" s="30" t="n">
        <x:f>B220+C220+E220+F220+L220</x:f>
        <x:v>1294600</x:v>
      </x:c>
      <x:c r="S220" s="30" t="n">
        <x:f>(B220+E220)*J220</x:f>
        <x:v>780</x:v>
      </x:c>
      <x:c r="T220" s="30" t="n">
        <x:f>C220+E220+F220+L220</x:f>
        <x:v>294600</x:v>
      </x:c>
      <x:c r="U220" s="30" t="n">
        <x:f>E220</x:f>
        <x:v>169999.99999999997</x:v>
      </x:c>
      <x:c r="V220" s="30" t="n">
        <x:f>C220</x:f>
        <x:v>1000</x:v>
      </x:c>
      <x:c r="W220" s="30" t="n">
        <x:f>F220</x:f>
        <x:v>30000</x:v>
      </x:c>
      <x:c r="X220" s="30" t="n">
        <x:f>L220</x:f>
        <x:v>93600</x:v>
      </x:c>
      <x:c r="Y220" s="30" t="n">
        <x:f>SUM(U220:X220)</x:f>
        <x:v>294600</x:v>
      </x:c>
    </x:row>
    <x:row r="221">
      <x:c r="A221" t="str">
        <x:v>Short Term Contract</x:v>
      </x:c>
      <x:c r="B221" s="30" t="n">
        <x:v>1000000</x:v>
      </x:c>
      <x:c r="C221" s="30" t="n">
        <x:f>Inputs!$G$5</x:f>
        <x:v>1000</x:v>
      </x:c>
      <x:c r="D221" s="20" t="n">
        <x:f>Inputs!$G$4+VLOOKUP(M221,Inputs!$A$4:$B$7,2,FALSE)</x:f>
        <x:v>0.19</x:v>
      </x:c>
      <x:c r="E221" s="30" t="n">
        <x:f>B221*D221*N221/Inputs!$G$8</x:f>
        <x:v>190000</x:v>
      </x:c>
      <x:c r="F221" s="30" t="n">
        <x:f>B221*Inputs!$G$6</x:f>
        <x:v>30000</x:v>
      </x:c>
      <x:c r="G221" t="str">
        <x:v>30 Days</x:v>
      </x:c>
      <x:c r="H221" s="28" t="n">
        <x:v>30</x:v>
      </x:c>
      <x:c r="I221" s="52" t="n">
        <x:f>Inputs!$G$7</x:f>
        <x:v>0.02</x:v>
      </x:c>
      <x:c r="J221" s="52" t="n">
        <x:f>I221/30</x:f>
        <x:v>0.0006666666666666666</x:v>
      </x:c>
      <x:c r="K221" s="52" t="n">
        <x:f>J221*H221</x:f>
        <x:v>0.02</x:v>
      </x:c>
      <x:c r="L221" s="30" t="n">
        <x:f>(B221+E221)*K221</x:f>
        <x:v>23800</x:v>
      </x:c>
      <x:c r="M221" s="30" t="n">
        <x:f>E221</x:f>
        <x:v>190000</x:v>
      </x:c>
      <x:c r="N221" s="30">
        <x:f>R221-C221-F221</x:f>
      </x:c>
      <x:c r="O221" s="20" t="str">
        <x:f>IF(ABS(D221-(Inputs!$G$4+Inputs!$B$4))&lt;0.000001,"Low Risk",IF(ABS(D221-(Inputs!$G$4+Inputs!$B$5))&lt;0.000001,"Moderate Risk",IF(ABS(D221-(Inputs!$G$4+Inputs!$B$6))&lt;0.000001,"High Risk","Worst Scenario")))</x:f>
        <x:v>High Risk</x:v>
      </x:c>
      <x:c r="P221" s="28" t="n">
        <x:f>IF(A221="Purchase Order Funding",Inputs!$G$13,IF(B221=500000,180,IF(B221=750000,365,1095)))</x:f>
        <x:v>1095</x:v>
      </x:c>
      <x:c r="Q221" s="20" t="n">
        <x:f>D221</x:f>
        <x:v>0.19</x:v>
      </x:c>
      <x:c r="R221" s="30" t="n">
        <x:f>B221+C221+E221+F221+L221</x:f>
        <x:v>1244800</x:v>
      </x:c>
      <x:c r="S221" s="30" t="n">
        <x:f>(B221+E221)*J221</x:f>
        <x:v>793.3333333333333</x:v>
      </x:c>
      <x:c r="T221" s="30" t="n">
        <x:f>C221+E221+F221+L221</x:f>
        <x:v>244800</x:v>
      </x:c>
      <x:c r="U221" s="30" t="n">
        <x:f>E221</x:f>
        <x:v>190000</x:v>
      </x:c>
      <x:c r="V221" s="30" t="n">
        <x:f>C221</x:f>
        <x:v>1000</x:v>
      </x:c>
      <x:c r="W221" s="30" t="n">
        <x:f>F221</x:f>
        <x:v>30000</x:v>
      </x:c>
      <x:c r="X221" s="30" t="n">
        <x:f>L221</x:f>
        <x:v>23800</x:v>
      </x:c>
      <x:c r="Y221" s="30" t="n">
        <x:f>SUM(U221:X221)</x:f>
        <x:v>244800</x:v>
      </x:c>
    </x:row>
    <x:row r="222">
      <x:c r="A222" t="str">
        <x:v>Short Term Contract</x:v>
      </x:c>
      <x:c r="B222" s="30" t="n">
        <x:v>1000000</x:v>
      </x:c>
      <x:c r="C222" s="30" t="n">
        <x:f>Inputs!$G$5</x:f>
        <x:v>1000</x:v>
      </x:c>
      <x:c r="D222" s="20" t="n">
        <x:f>Inputs!$G$4+VLOOKUP(M222,Inputs!$A$4:$B$7,2,FALSE)</x:f>
        <x:v>0.19</x:v>
      </x:c>
      <x:c r="E222" s="30" t="n">
        <x:f>B222*D222*N222/Inputs!$G$8</x:f>
        <x:v>190000</x:v>
      </x:c>
      <x:c r="F222" s="30" t="n">
        <x:f>B222*Inputs!$G$6</x:f>
        <x:v>30000</x:v>
      </x:c>
      <x:c r="G222" t="str">
        <x:v>60 Days</x:v>
      </x:c>
      <x:c r="H222" s="28" t="n">
        <x:v>60</x:v>
      </x:c>
      <x:c r="I222" s="52" t="n">
        <x:f>Inputs!$G$7</x:f>
        <x:v>0.02</x:v>
      </x:c>
      <x:c r="J222" s="52" t="n">
        <x:f>I222/30</x:f>
        <x:v>0.0006666666666666666</x:v>
      </x:c>
      <x:c r="K222" s="52" t="n">
        <x:f>J222*H222</x:f>
        <x:v>0.04</x:v>
      </x:c>
      <x:c r="L222" s="30" t="n">
        <x:f>(B222+E222)*K222</x:f>
        <x:v>47600</x:v>
      </x:c>
      <x:c r="M222" s="30" t="n">
        <x:f>E222</x:f>
        <x:v>190000</x:v>
      </x:c>
      <x:c r="N222" s="30">
        <x:f>R222-C222-F222</x:f>
      </x:c>
      <x:c r="O222" s="20" t="str">
        <x:f>IF(ABS(D222-(Inputs!$G$4+Inputs!$B$4))&lt;0.000001,"Low Risk",IF(ABS(D222-(Inputs!$G$4+Inputs!$B$5))&lt;0.000001,"Moderate Risk",IF(ABS(D222-(Inputs!$G$4+Inputs!$B$6))&lt;0.000001,"High Risk","Worst Scenario")))</x:f>
        <x:v>High Risk</x:v>
      </x:c>
      <x:c r="P222" s="28" t="n">
        <x:f>IF(A222="Purchase Order Funding",Inputs!$G$13,IF(B222=500000,180,IF(B222=750000,365,1095)))</x:f>
        <x:v>1095</x:v>
      </x:c>
      <x:c r="Q222" s="20" t="n">
        <x:f>D222</x:f>
        <x:v>0.19</x:v>
      </x:c>
      <x:c r="R222" s="30" t="n">
        <x:f>B222+C222+E222+F222+L222</x:f>
        <x:v>1268600</x:v>
      </x:c>
      <x:c r="S222" s="30" t="n">
        <x:f>(B222+E222)*J222</x:f>
        <x:v>793.3333333333333</x:v>
      </x:c>
      <x:c r="T222" s="30" t="n">
        <x:f>C222+E222+F222+L222</x:f>
        <x:v>268600</x:v>
      </x:c>
      <x:c r="U222" s="30" t="n">
        <x:f>E222</x:f>
        <x:v>190000</x:v>
      </x:c>
      <x:c r="V222" s="30" t="n">
        <x:f>C222</x:f>
        <x:v>1000</x:v>
      </x:c>
      <x:c r="W222" s="30" t="n">
        <x:f>F222</x:f>
        <x:v>30000</x:v>
      </x:c>
      <x:c r="X222" s="30" t="n">
        <x:f>L222</x:f>
        <x:v>47600</x:v>
      </x:c>
      <x:c r="Y222" s="30" t="n">
        <x:f>SUM(U222:X222)</x:f>
        <x:v>268600</x:v>
      </x:c>
    </x:row>
    <x:row r="223">
      <x:c r="A223" t="str">
        <x:v>Short Term Contract</x:v>
      </x:c>
      <x:c r="B223" s="30" t="n">
        <x:v>1000000</x:v>
      </x:c>
      <x:c r="C223" s="30" t="n">
        <x:f>Inputs!$G$5</x:f>
        <x:v>1000</x:v>
      </x:c>
      <x:c r="D223" s="20" t="n">
        <x:f>Inputs!$G$4+VLOOKUP(M223,Inputs!$A$4:$B$7,2,FALSE)</x:f>
        <x:v>0.19</x:v>
      </x:c>
      <x:c r="E223" s="30" t="n">
        <x:f>B223*D223*N223/Inputs!$G$8</x:f>
        <x:v>190000</x:v>
      </x:c>
      <x:c r="F223" s="30" t="n">
        <x:f>B223*Inputs!$G$6</x:f>
        <x:v>30000</x:v>
      </x:c>
      <x:c r="G223" t="str">
        <x:v>90 Days</x:v>
      </x:c>
      <x:c r="H223" s="28" t="n">
        <x:v>90</x:v>
      </x:c>
      <x:c r="I223" s="52" t="n">
        <x:f>Inputs!$G$7</x:f>
        <x:v>0.02</x:v>
      </x:c>
      <x:c r="J223" s="52" t="n">
        <x:f>I223/30</x:f>
        <x:v>0.0006666666666666666</x:v>
      </x:c>
      <x:c r="K223" s="52" t="n">
        <x:f>J223*H223</x:f>
        <x:v>0.06</x:v>
      </x:c>
      <x:c r="L223" s="30" t="n">
        <x:f>(B223+E223)*K223</x:f>
        <x:v>71400</x:v>
      </x:c>
      <x:c r="M223" s="30" t="n">
        <x:f>E223</x:f>
        <x:v>190000</x:v>
      </x:c>
      <x:c r="N223" s="30">
        <x:f>R223-C223-F223</x:f>
      </x:c>
      <x:c r="O223" s="20" t="str">
        <x:f>IF(ABS(D223-(Inputs!$G$4+Inputs!$B$4))&lt;0.000001,"Low Risk",IF(ABS(D223-(Inputs!$G$4+Inputs!$B$5))&lt;0.000001,"Moderate Risk",IF(ABS(D223-(Inputs!$G$4+Inputs!$B$6))&lt;0.000001,"High Risk","Worst Scenario")))</x:f>
        <x:v>High Risk</x:v>
      </x:c>
      <x:c r="P223" s="28" t="n">
        <x:f>IF(A223="Purchase Order Funding",Inputs!$G$13,IF(B223=500000,180,IF(B223=750000,365,1095)))</x:f>
        <x:v>1095</x:v>
      </x:c>
      <x:c r="Q223" s="20" t="n">
        <x:f>D223</x:f>
        <x:v>0.19</x:v>
      </x:c>
      <x:c r="R223" s="30" t="n">
        <x:f>B223+C223+E223+F223+L223</x:f>
        <x:v>1292400</x:v>
      </x:c>
      <x:c r="S223" s="30" t="n">
        <x:f>(B223+E223)*J223</x:f>
        <x:v>793.3333333333333</x:v>
      </x:c>
      <x:c r="T223" s="30" t="n">
        <x:f>C223+E223+F223+L223</x:f>
        <x:v>292400</x:v>
      </x:c>
      <x:c r="U223" s="30" t="n">
        <x:f>E223</x:f>
        <x:v>190000</x:v>
      </x:c>
      <x:c r="V223" s="30" t="n">
        <x:f>C223</x:f>
        <x:v>1000</x:v>
      </x:c>
      <x:c r="W223" s="30" t="n">
        <x:f>F223</x:f>
        <x:v>30000</x:v>
      </x:c>
      <x:c r="X223" s="30" t="n">
        <x:f>L223</x:f>
        <x:v>71400</x:v>
      </x:c>
      <x:c r="Y223" s="30" t="n">
        <x:f>SUM(U223:X223)</x:f>
        <x:v>292400</x:v>
      </x:c>
    </x:row>
    <x:row r="224">
      <x:c r="A224" t="str">
        <x:v>Short Term Contract</x:v>
      </x:c>
      <x:c r="B224" s="30" t="n">
        <x:v>1000000</x:v>
      </x:c>
      <x:c r="C224" s="30" t="n">
        <x:f>Inputs!$G$5</x:f>
        <x:v>1000</x:v>
      </x:c>
      <x:c r="D224" s="20" t="n">
        <x:f>Inputs!$G$4+VLOOKUP(M224,Inputs!$A$4:$B$7,2,FALSE)</x:f>
        <x:v>0.19</x:v>
      </x:c>
      <x:c r="E224" s="30" t="n">
        <x:f>B224*D224*N224/Inputs!$G$8</x:f>
        <x:v>190000</x:v>
      </x:c>
      <x:c r="F224" s="30" t="n">
        <x:f>B224*Inputs!$G$6</x:f>
        <x:v>30000</x:v>
      </x:c>
      <x:c r="G224" t="str">
        <x:v>120 Days</x:v>
      </x:c>
      <x:c r="H224" s="28" t="n">
        <x:v>120</x:v>
      </x:c>
      <x:c r="I224" s="52" t="n">
        <x:f>Inputs!$G$7</x:f>
        <x:v>0.02</x:v>
      </x:c>
      <x:c r="J224" s="52" t="n">
        <x:f>I224/30</x:f>
        <x:v>0.0006666666666666666</x:v>
      </x:c>
      <x:c r="K224" s="52" t="n">
        <x:f>J224*H224</x:f>
        <x:v>0.08</x:v>
      </x:c>
      <x:c r="L224" s="30" t="n">
        <x:f>(B224+E224)*K224</x:f>
        <x:v>95200</x:v>
      </x:c>
      <x:c r="M224" s="30" t="n">
        <x:f>E224</x:f>
        <x:v>190000</x:v>
      </x:c>
      <x:c r="N224" s="30">
        <x:f>R224-C224-F224</x:f>
      </x:c>
      <x:c r="O224" s="20" t="str">
        <x:f>IF(ABS(D224-(Inputs!$G$4+Inputs!$B$4))&lt;0.000001,"Low Risk",IF(ABS(D224-(Inputs!$G$4+Inputs!$B$5))&lt;0.000001,"Moderate Risk",IF(ABS(D224-(Inputs!$G$4+Inputs!$B$6))&lt;0.000001,"High Risk","Worst Scenario")))</x:f>
        <x:v>High Risk</x:v>
      </x:c>
      <x:c r="P224" s="28" t="n">
        <x:f>IF(A224="Purchase Order Funding",Inputs!$G$13,IF(B224=500000,180,IF(B224=750000,365,1095)))</x:f>
        <x:v>1095</x:v>
      </x:c>
      <x:c r="Q224" s="20" t="n">
        <x:f>D224</x:f>
        <x:v>0.19</x:v>
      </x:c>
      <x:c r="R224" s="30" t="n">
        <x:f>B224+C224+E224+F224+L224</x:f>
        <x:v>1316200</x:v>
      </x:c>
      <x:c r="S224" s="30" t="n">
        <x:f>(B224+E224)*J224</x:f>
        <x:v>793.3333333333333</x:v>
      </x:c>
      <x:c r="T224" s="30" t="n">
        <x:f>C224+E224+F224+L224</x:f>
        <x:v>316200</x:v>
      </x:c>
      <x:c r="U224" s="30" t="n">
        <x:f>E224</x:f>
        <x:v>190000</x:v>
      </x:c>
      <x:c r="V224" s="30" t="n">
        <x:f>C224</x:f>
        <x:v>1000</x:v>
      </x:c>
      <x:c r="W224" s="30" t="n">
        <x:f>F224</x:f>
        <x:v>30000</x:v>
      </x:c>
      <x:c r="X224" s="30" t="n">
        <x:f>L224</x:f>
        <x:v>95200</x:v>
      </x:c>
      <x:c r="Y224" s="30" t="n">
        <x:f>SUM(U224:X224)</x:f>
        <x:v>316200</x:v>
      </x:c>
    </x:row>
    <x:row r="225">
      <x:c r="A225" t="str">
        <x:v>Short Term Contract</x:v>
      </x:c>
      <x:c r="B225" s="30" t="n">
        <x:v>1000000</x:v>
      </x:c>
      <x:c r="C225" s="30" t="n">
        <x:f>Inputs!$G$5</x:f>
        <x:v>1000</x:v>
      </x:c>
      <x:c r="D225" s="20" t="n">
        <x:f>Inputs!$G$4+VLOOKUP(M225,Inputs!$A$4:$B$7,2,FALSE)</x:f>
        <x:v>0.21</x:v>
      </x:c>
      <x:c r="E225" s="30" t="n">
        <x:f>B225*D225*N225/Inputs!$G$8</x:f>
        <x:v>210000</x:v>
      </x:c>
      <x:c r="F225" s="30" t="n">
        <x:f>B225*Inputs!$G$6</x:f>
        <x:v>30000</x:v>
      </x:c>
      <x:c r="G225" t="str">
        <x:v>30 Days</x:v>
      </x:c>
      <x:c r="H225" s="28" t="n">
        <x:v>30</x:v>
      </x:c>
      <x:c r="I225" s="52" t="n">
        <x:f>Inputs!$G$7</x:f>
        <x:v>0.02</x:v>
      </x:c>
      <x:c r="J225" s="52" t="n">
        <x:f>I225/30</x:f>
        <x:v>0.0006666666666666666</x:v>
      </x:c>
      <x:c r="K225" s="52" t="n">
        <x:f>J225*H225</x:f>
        <x:v>0.02</x:v>
      </x:c>
      <x:c r="L225" s="30" t="n">
        <x:f>(B225+E225)*K225</x:f>
        <x:v>24200</x:v>
      </x:c>
      <x:c r="M225" s="30" t="n">
        <x:f>E225</x:f>
        <x:v>210000</x:v>
      </x:c>
      <x:c r="N225" s="30">
        <x:f>R225-C225-F225</x:f>
      </x:c>
      <x:c r="O225" s="20" t="str">
        <x:f>IF(ABS(D225-(Inputs!$G$4+Inputs!$B$4))&lt;0.000001,"Low Risk",IF(ABS(D225-(Inputs!$G$4+Inputs!$B$5))&lt;0.000001,"Moderate Risk",IF(ABS(D225-(Inputs!$G$4+Inputs!$B$6))&lt;0.000001,"High Risk","Worst Scenario")))</x:f>
        <x:v>Worst Scenario</x:v>
      </x:c>
      <x:c r="P225" s="28" t="n">
        <x:f>IF(A225="Purchase Order Funding",Inputs!$G$13,IF(B225=500000,180,IF(B225=750000,365,1095)))</x:f>
        <x:v>1095</x:v>
      </x:c>
      <x:c r="Q225" s="20" t="n">
        <x:f>D225</x:f>
        <x:v>0.21</x:v>
      </x:c>
      <x:c r="R225" s="30" t="n">
        <x:f>B225+C225+E225+F225+L225</x:f>
        <x:v>1265200</x:v>
      </x:c>
      <x:c r="S225" s="30" t="n">
        <x:f>(B225+E225)*J225</x:f>
        <x:v>806.6666666666666</x:v>
      </x:c>
      <x:c r="T225" s="30" t="n">
        <x:f>C225+E225+F225+L225</x:f>
        <x:v>265200</x:v>
      </x:c>
      <x:c r="U225" s="30" t="n">
        <x:f>E225</x:f>
        <x:v>210000</x:v>
      </x:c>
      <x:c r="V225" s="30" t="n">
        <x:f>C225</x:f>
        <x:v>1000</x:v>
      </x:c>
      <x:c r="W225" s="30" t="n">
        <x:f>F225</x:f>
        <x:v>30000</x:v>
      </x:c>
      <x:c r="X225" s="30" t="n">
        <x:f>L225</x:f>
        <x:v>24200</x:v>
      </x:c>
      <x:c r="Y225" s="30" t="n">
        <x:f>SUM(U225:X225)</x:f>
        <x:v>265200</x:v>
      </x:c>
    </x:row>
    <x:row r="226">
      <x:c r="A226" t="str">
        <x:v>Short Term Contract</x:v>
      </x:c>
      <x:c r="B226" s="30" t="n">
        <x:v>1000000</x:v>
      </x:c>
      <x:c r="C226" s="30" t="n">
        <x:f>Inputs!$G$5</x:f>
        <x:v>1000</x:v>
      </x:c>
      <x:c r="D226" s="20" t="n">
        <x:f>Inputs!$G$4+VLOOKUP(M226,Inputs!$A$4:$B$7,2,FALSE)</x:f>
        <x:v>0.21</x:v>
      </x:c>
      <x:c r="E226" s="30" t="n">
        <x:f>B226*D226*N226/Inputs!$G$8</x:f>
        <x:v>210000</x:v>
      </x:c>
      <x:c r="F226" s="30" t="n">
        <x:f>B226*Inputs!$G$6</x:f>
        <x:v>30000</x:v>
      </x:c>
      <x:c r="G226" t="str">
        <x:v>60 Days</x:v>
      </x:c>
      <x:c r="H226" s="28" t="n">
        <x:v>60</x:v>
      </x:c>
      <x:c r="I226" s="52" t="n">
        <x:f>Inputs!$G$7</x:f>
        <x:v>0.02</x:v>
      </x:c>
      <x:c r="J226" s="52" t="n">
        <x:f>I226/30</x:f>
        <x:v>0.0006666666666666666</x:v>
      </x:c>
      <x:c r="K226" s="52" t="n">
        <x:f>J226*H226</x:f>
        <x:v>0.04</x:v>
      </x:c>
      <x:c r="L226" s="30" t="n">
        <x:f>(B226+E226)*K226</x:f>
        <x:v>48400</x:v>
      </x:c>
      <x:c r="M226" s="30" t="n">
        <x:f>E226</x:f>
        <x:v>210000</x:v>
      </x:c>
      <x:c r="N226" s="30">
        <x:f>R226-C226-F226</x:f>
      </x:c>
      <x:c r="O226" s="20" t="str">
        <x:f>IF(ABS(D226-(Inputs!$G$4+Inputs!$B$4))&lt;0.000001,"Low Risk",IF(ABS(D226-(Inputs!$G$4+Inputs!$B$5))&lt;0.000001,"Moderate Risk",IF(ABS(D226-(Inputs!$G$4+Inputs!$B$6))&lt;0.000001,"High Risk","Worst Scenario")))</x:f>
        <x:v>Worst Scenario</x:v>
      </x:c>
      <x:c r="P226" s="28" t="n">
        <x:f>IF(A226="Purchase Order Funding",Inputs!$G$13,IF(B226=500000,180,IF(B226=750000,365,1095)))</x:f>
        <x:v>1095</x:v>
      </x:c>
      <x:c r="Q226" s="20" t="n">
        <x:f>D226</x:f>
        <x:v>0.21</x:v>
      </x:c>
      <x:c r="R226" s="30" t="n">
        <x:f>B226+C226+E226+F226+L226</x:f>
        <x:v>1289400</x:v>
      </x:c>
      <x:c r="S226" s="30" t="n">
        <x:f>(B226+E226)*J226</x:f>
        <x:v>806.6666666666666</x:v>
      </x:c>
      <x:c r="T226" s="30" t="n">
        <x:f>C226+E226+F226+L226</x:f>
        <x:v>289400</x:v>
      </x:c>
      <x:c r="U226" s="30" t="n">
        <x:f>E226</x:f>
        <x:v>210000</x:v>
      </x:c>
      <x:c r="V226" s="30" t="n">
        <x:f>C226</x:f>
        <x:v>1000</x:v>
      </x:c>
      <x:c r="W226" s="30" t="n">
        <x:f>F226</x:f>
        <x:v>30000</x:v>
      </x:c>
      <x:c r="X226" s="30" t="n">
        <x:f>L226</x:f>
        <x:v>48400</x:v>
      </x:c>
      <x:c r="Y226" s="30" t="n">
        <x:f>SUM(U226:X226)</x:f>
        <x:v>289400</x:v>
      </x:c>
    </x:row>
    <x:row r="227">
      <x:c r="A227" t="str">
        <x:v>Short Term Contract</x:v>
      </x:c>
      <x:c r="B227" s="30" t="n">
        <x:v>1000000</x:v>
      </x:c>
      <x:c r="C227" s="30" t="n">
        <x:f>Inputs!$G$5</x:f>
        <x:v>1000</x:v>
      </x:c>
      <x:c r="D227" s="20" t="n">
        <x:f>Inputs!$G$4+VLOOKUP(M227,Inputs!$A$4:$B$7,2,FALSE)</x:f>
        <x:v>0.21</x:v>
      </x:c>
      <x:c r="E227" s="30" t="n">
        <x:f>B227*D227*N227/Inputs!$G$8</x:f>
        <x:v>210000</x:v>
      </x:c>
      <x:c r="F227" s="30" t="n">
        <x:f>B227*Inputs!$G$6</x:f>
        <x:v>30000</x:v>
      </x:c>
      <x:c r="G227" t="str">
        <x:v>90 Days</x:v>
      </x:c>
      <x:c r="H227" s="28" t="n">
        <x:v>90</x:v>
      </x:c>
      <x:c r="I227" s="52" t="n">
        <x:f>Inputs!$G$7</x:f>
        <x:v>0.02</x:v>
      </x:c>
      <x:c r="J227" s="52" t="n">
        <x:f>I227/30</x:f>
        <x:v>0.0006666666666666666</x:v>
      </x:c>
      <x:c r="K227" s="52" t="n">
        <x:f>J227*H227</x:f>
        <x:v>0.06</x:v>
      </x:c>
      <x:c r="L227" s="30" t="n">
        <x:f>(B227+E227)*K227</x:f>
        <x:v>72600</x:v>
      </x:c>
      <x:c r="M227" s="30" t="n">
        <x:f>E227</x:f>
        <x:v>210000</x:v>
      </x:c>
      <x:c r="N227" s="30">
        <x:f>R227-C227-F227</x:f>
      </x:c>
      <x:c r="O227" s="20" t="str">
        <x:f>IF(ABS(D227-(Inputs!$G$4+Inputs!$B$4))&lt;0.000001,"Low Risk",IF(ABS(D227-(Inputs!$G$4+Inputs!$B$5))&lt;0.000001,"Moderate Risk",IF(ABS(D227-(Inputs!$G$4+Inputs!$B$6))&lt;0.000001,"High Risk","Worst Scenario")))</x:f>
        <x:v>Worst Scenario</x:v>
      </x:c>
      <x:c r="P227" s="28" t="n">
        <x:f>IF(A227="Purchase Order Funding",Inputs!$G$13,IF(B227=500000,180,IF(B227=750000,365,1095)))</x:f>
        <x:v>1095</x:v>
      </x:c>
      <x:c r="Q227" s="20" t="n">
        <x:f>D227</x:f>
        <x:v>0.21</x:v>
      </x:c>
      <x:c r="R227" s="30" t="n">
        <x:f>B227+C227+E227+F227+L227</x:f>
        <x:v>1313600</x:v>
      </x:c>
      <x:c r="S227" s="30" t="n">
        <x:f>(B227+E227)*J227</x:f>
        <x:v>806.6666666666666</x:v>
      </x:c>
      <x:c r="T227" s="30" t="n">
        <x:f>C227+E227+F227+L227</x:f>
        <x:v>313600</x:v>
      </x:c>
      <x:c r="U227" s="30" t="n">
        <x:f>E227</x:f>
        <x:v>210000</x:v>
      </x:c>
      <x:c r="V227" s="30" t="n">
        <x:f>C227</x:f>
        <x:v>1000</x:v>
      </x:c>
      <x:c r="W227" s="30" t="n">
        <x:f>F227</x:f>
        <x:v>30000</x:v>
      </x:c>
      <x:c r="X227" s="30" t="n">
        <x:f>L227</x:f>
        <x:v>72600</x:v>
      </x:c>
      <x:c r="Y227" s="30" t="n">
        <x:f>SUM(U227:X227)</x:f>
        <x:v>313600</x:v>
      </x:c>
    </x:row>
    <x:row r="228">
      <x:c r="A228" t="str">
        <x:v>Short Term Contract</x:v>
      </x:c>
      <x:c r="B228" s="30" t="n">
        <x:v>1000000</x:v>
      </x:c>
      <x:c r="C228" s="30" t="n">
        <x:f>Inputs!$G$5</x:f>
        <x:v>1000</x:v>
      </x:c>
      <x:c r="D228" s="20" t="n">
        <x:f>Inputs!$G$4+VLOOKUP(M228,Inputs!$A$4:$B$7,2,FALSE)</x:f>
        <x:v>0.21</x:v>
      </x:c>
      <x:c r="E228" s="30" t="n">
        <x:f>B228*D228*N228/Inputs!$G$8</x:f>
        <x:v>210000</x:v>
      </x:c>
      <x:c r="F228" s="30" t="n">
        <x:f>B228*Inputs!$G$6</x:f>
        <x:v>30000</x:v>
      </x:c>
      <x:c r="G228" t="str">
        <x:v>120 Days</x:v>
      </x:c>
      <x:c r="H228" s="28" t="n">
        <x:v>120</x:v>
      </x:c>
      <x:c r="I228" s="52" t="n">
        <x:f>Inputs!$G$7</x:f>
        <x:v>0.02</x:v>
      </x:c>
      <x:c r="J228" s="52" t="n">
        <x:f>I228/30</x:f>
        <x:v>0.0006666666666666666</x:v>
      </x:c>
      <x:c r="K228" s="52" t="n">
        <x:f>J228*H228</x:f>
        <x:v>0.08</x:v>
      </x:c>
      <x:c r="L228" s="30" t="n">
        <x:f>(B228+E228)*K228</x:f>
        <x:v>96800</x:v>
      </x:c>
      <x:c r="M228" s="30" t="n">
        <x:f>E228</x:f>
        <x:v>210000</x:v>
      </x:c>
      <x:c r="N228" s="30">
        <x:f>R228-C228-F228</x:f>
      </x:c>
      <x:c r="O228" s="20" t="str">
        <x:f>IF(ABS(D228-(Inputs!$G$4+Inputs!$B$4))&lt;0.000001,"Low Risk",IF(ABS(D228-(Inputs!$G$4+Inputs!$B$5))&lt;0.000001,"Moderate Risk",IF(ABS(D228-(Inputs!$G$4+Inputs!$B$6))&lt;0.000001,"High Risk","Worst Scenario")))</x:f>
        <x:v>Worst Scenario</x:v>
      </x:c>
      <x:c r="P228" s="28" t="n">
        <x:f>IF(A228="Purchase Order Funding",Inputs!$G$13,IF(B228=500000,180,IF(B228=750000,365,1095)))</x:f>
        <x:v>1095</x:v>
      </x:c>
      <x:c r="Q228" s="20" t="n">
        <x:f>D228</x:f>
        <x:v>0.21</x:v>
      </x:c>
      <x:c r="R228" s="30" t="n">
        <x:f>B228+C228+E228+F228+L228</x:f>
        <x:v>1337800</x:v>
      </x:c>
      <x:c r="S228" s="30" t="n">
        <x:f>(B228+E228)*J228</x:f>
        <x:v>806.6666666666666</x:v>
      </x:c>
      <x:c r="T228" s="30" t="n">
        <x:f>C228+E228+F228+L228</x:f>
        <x:v>337800</x:v>
      </x:c>
      <x:c r="U228" s="30" t="n">
        <x:f>E228</x:f>
        <x:v>210000</x:v>
      </x:c>
      <x:c r="V228" s="30" t="n">
        <x:f>C228</x:f>
        <x:v>1000</x:v>
      </x:c>
      <x:c r="W228" s="30" t="n">
        <x:f>F228</x:f>
        <x:v>30000</x:v>
      </x:c>
      <x:c r="X228" s="30" t="n">
        <x:f>L228</x:f>
        <x:v>96800</x:v>
      </x:c>
      <x:c r="Y228" s="30" t="n">
        <x:f>SUM(U228:X228)</x:f>
        <x:v>337800</x:v>
      </x:c>
    </x:row>
    <x:row r="229">
      <x:c r="A229" t="str">
        <x:v>Short Term Contract</x:v>
      </x:c>
      <x:c r="B229" s="30" t="n">
        <x:v>1000000</x:v>
      </x:c>
      <x:c r="C229" s="30" t="n">
        <x:f>Inputs!$G$5</x:f>
        <x:v>1000</x:v>
      </x:c>
      <x:c r="D229" s="20" t="n">
        <x:f>Inputs!$G$4+VLOOKUP(M229,Inputs!$A$4:$B$7,2,FALSE)</x:f>
        <x:v>0.155</x:v>
      </x:c>
      <x:c r="E229" s="30" t="n">
        <x:f>B229*D229*N229/Inputs!$G$8</x:f>
        <x:v>310000</x:v>
      </x:c>
      <x:c r="F229" s="30" t="n">
        <x:f>B229*Inputs!$G$6</x:f>
        <x:v>30000</x:v>
      </x:c>
      <x:c r="G229" t="str">
        <x:v>30 Days</x:v>
      </x:c>
      <x:c r="H229" s="28" t="n">
        <x:v>30</x:v>
      </x:c>
      <x:c r="I229" s="52" t="n">
        <x:f>Inputs!$G$7</x:f>
        <x:v>0.02</x:v>
      </x:c>
      <x:c r="J229" s="52" t="n">
        <x:f>I229/30</x:f>
        <x:v>0.0006666666666666666</x:v>
      </x:c>
      <x:c r="K229" s="52" t="n">
        <x:f>J229*H229</x:f>
        <x:v>0.02</x:v>
      </x:c>
      <x:c r="L229" s="30" t="n">
        <x:f>(B229+E229)*K229</x:f>
        <x:v>26200</x:v>
      </x:c>
      <x:c r="M229" s="30" t="n">
        <x:f>E229</x:f>
        <x:v>310000</x:v>
      </x:c>
      <x:c r="N229" s="30">
        <x:f>R229-C229-F229</x:f>
      </x:c>
      <x:c r="O229" s="20" t="str">
        <x:f>IF(ABS(D229-(Inputs!$G$4+Inputs!$B$4))&lt;0.000001,"Low Risk",IF(ABS(D229-(Inputs!$G$4+Inputs!$B$5))&lt;0.000001,"Moderate Risk",IF(ABS(D229-(Inputs!$G$4+Inputs!$B$6))&lt;0.000001,"High Risk","Worst Scenario")))</x:f>
        <x:v>Low Risk</x:v>
      </x:c>
      <x:c r="P229" s="28" t="n">
        <x:f>IF(A229="Purchase Order Funding",Inputs!$G$13,IF(B229=500000,180,IF(B229=750000,365,1095)))</x:f>
        <x:v>1095</x:v>
      </x:c>
      <x:c r="Q229" s="20" t="n">
        <x:f>D229</x:f>
        <x:v>0.155</x:v>
      </x:c>
      <x:c r="R229" s="30" t="n">
        <x:f>B229+C229+E229+F229+L229</x:f>
        <x:v>1367200</x:v>
      </x:c>
      <x:c r="S229" s="30" t="n">
        <x:f>(B229+E229)*J229</x:f>
        <x:v>873.3333333333333</x:v>
      </x:c>
      <x:c r="T229" s="30" t="n">
        <x:f>C229+E229+F229+L229</x:f>
        <x:v>367200</x:v>
      </x:c>
      <x:c r="U229" s="30" t="n">
        <x:f>E229</x:f>
        <x:v>310000</x:v>
      </x:c>
      <x:c r="V229" s="30" t="n">
        <x:f>C229</x:f>
        <x:v>1000</x:v>
      </x:c>
      <x:c r="W229" s="30" t="n">
        <x:f>F229</x:f>
        <x:v>30000</x:v>
      </x:c>
      <x:c r="X229" s="30" t="n">
        <x:f>L229</x:f>
        <x:v>26200</x:v>
      </x:c>
      <x:c r="Y229" s="30" t="n">
        <x:f>SUM(U229:X229)</x:f>
        <x:v>367200</x:v>
      </x:c>
    </x:row>
    <x:row r="230">
      <x:c r="A230" t="str">
        <x:v>Short Term Contract</x:v>
      </x:c>
      <x:c r="B230" s="30" t="n">
        <x:v>1000000</x:v>
      </x:c>
      <x:c r="C230" s="30" t="n">
        <x:f>Inputs!$G$5</x:f>
        <x:v>1000</x:v>
      </x:c>
      <x:c r="D230" s="20" t="n">
        <x:f>Inputs!$G$4+VLOOKUP(M230,Inputs!$A$4:$B$7,2,FALSE)</x:f>
        <x:v>0.155</x:v>
      </x:c>
      <x:c r="E230" s="30" t="n">
        <x:f>B230*D230*N230/Inputs!$G$8</x:f>
        <x:v>310000</x:v>
      </x:c>
      <x:c r="F230" s="30" t="n">
        <x:f>B230*Inputs!$G$6</x:f>
        <x:v>30000</x:v>
      </x:c>
      <x:c r="G230" t="str">
        <x:v>60 Days</x:v>
      </x:c>
      <x:c r="H230" s="28" t="n">
        <x:v>60</x:v>
      </x:c>
      <x:c r="I230" s="52" t="n">
        <x:f>Inputs!$G$7</x:f>
        <x:v>0.02</x:v>
      </x:c>
      <x:c r="J230" s="52" t="n">
        <x:f>I230/30</x:f>
        <x:v>0.0006666666666666666</x:v>
      </x:c>
      <x:c r="K230" s="52" t="n">
        <x:f>J230*H230</x:f>
        <x:v>0.04</x:v>
      </x:c>
      <x:c r="L230" s="30" t="n">
        <x:f>(B230+E230)*K230</x:f>
        <x:v>52400</x:v>
      </x:c>
      <x:c r="M230" s="30" t="n">
        <x:f>E230</x:f>
        <x:v>310000</x:v>
      </x:c>
      <x:c r="N230" s="30">
        <x:f>R230-C230-F230</x:f>
      </x:c>
      <x:c r="O230" s="20" t="str">
        <x:f>IF(ABS(D230-(Inputs!$G$4+Inputs!$B$4))&lt;0.000001,"Low Risk",IF(ABS(D230-(Inputs!$G$4+Inputs!$B$5))&lt;0.000001,"Moderate Risk",IF(ABS(D230-(Inputs!$G$4+Inputs!$B$6))&lt;0.000001,"High Risk","Worst Scenario")))</x:f>
        <x:v>Low Risk</x:v>
      </x:c>
      <x:c r="P230" s="28" t="n">
        <x:f>IF(A230="Purchase Order Funding",Inputs!$G$13,IF(B230=500000,180,IF(B230=750000,365,1095)))</x:f>
        <x:v>1095</x:v>
      </x:c>
      <x:c r="Q230" s="20" t="n">
        <x:f>D230</x:f>
        <x:v>0.155</x:v>
      </x:c>
      <x:c r="R230" s="30" t="n">
        <x:f>B230+C230+E230+F230+L230</x:f>
        <x:v>1393400</x:v>
      </x:c>
      <x:c r="S230" s="30" t="n">
        <x:f>(B230+E230)*J230</x:f>
        <x:v>873.3333333333333</x:v>
      </x:c>
      <x:c r="T230" s="30" t="n">
        <x:f>C230+E230+F230+L230</x:f>
        <x:v>393400</x:v>
      </x:c>
      <x:c r="U230" s="30" t="n">
        <x:f>E230</x:f>
        <x:v>310000</x:v>
      </x:c>
      <x:c r="V230" s="30" t="n">
        <x:f>C230</x:f>
        <x:v>1000</x:v>
      </x:c>
      <x:c r="W230" s="30" t="n">
        <x:f>F230</x:f>
        <x:v>30000</x:v>
      </x:c>
      <x:c r="X230" s="30" t="n">
        <x:f>L230</x:f>
        <x:v>52400</x:v>
      </x:c>
      <x:c r="Y230" s="30" t="n">
        <x:f>SUM(U230:X230)</x:f>
        <x:v>393400</x:v>
      </x:c>
    </x:row>
    <x:row r="231">
      <x:c r="A231" t="str">
        <x:v>Short Term Contract</x:v>
      </x:c>
      <x:c r="B231" s="30" t="n">
        <x:v>1000000</x:v>
      </x:c>
      <x:c r="C231" s="30" t="n">
        <x:f>Inputs!$G$5</x:f>
        <x:v>1000</x:v>
      </x:c>
      <x:c r="D231" s="20" t="n">
        <x:f>Inputs!$G$4+VLOOKUP(M231,Inputs!$A$4:$B$7,2,FALSE)</x:f>
        <x:v>0.155</x:v>
      </x:c>
      <x:c r="E231" s="30" t="n">
        <x:f>B231*D231*N231/Inputs!$G$8</x:f>
        <x:v>310000</x:v>
      </x:c>
      <x:c r="F231" s="30" t="n">
        <x:f>B231*Inputs!$G$6</x:f>
        <x:v>30000</x:v>
      </x:c>
      <x:c r="G231" t="str">
        <x:v>90 Days</x:v>
      </x:c>
      <x:c r="H231" s="28" t="n">
        <x:v>90</x:v>
      </x:c>
      <x:c r="I231" s="52" t="n">
        <x:f>Inputs!$G$7</x:f>
        <x:v>0.02</x:v>
      </x:c>
      <x:c r="J231" s="52" t="n">
        <x:f>I231/30</x:f>
        <x:v>0.0006666666666666666</x:v>
      </x:c>
      <x:c r="K231" s="52" t="n">
        <x:f>J231*H231</x:f>
        <x:v>0.06</x:v>
      </x:c>
      <x:c r="L231" s="30" t="n">
        <x:f>(B231+E231)*K231</x:f>
        <x:v>78600</x:v>
      </x:c>
      <x:c r="M231" s="30" t="n">
        <x:f>E231</x:f>
        <x:v>310000</x:v>
      </x:c>
      <x:c r="N231" s="30">
        <x:f>R231-C231-F231</x:f>
      </x:c>
      <x:c r="O231" s="20" t="str">
        <x:f>IF(ABS(D231-(Inputs!$G$4+Inputs!$B$4))&lt;0.000001,"Low Risk",IF(ABS(D231-(Inputs!$G$4+Inputs!$B$5))&lt;0.000001,"Moderate Risk",IF(ABS(D231-(Inputs!$G$4+Inputs!$B$6))&lt;0.000001,"High Risk","Worst Scenario")))</x:f>
        <x:v>Low Risk</x:v>
      </x:c>
      <x:c r="P231" s="28" t="n">
        <x:f>IF(A231="Purchase Order Funding",Inputs!$G$13,IF(B231=500000,180,IF(B231=750000,365,1095)))</x:f>
        <x:v>1095</x:v>
      </x:c>
      <x:c r="Q231" s="20" t="n">
        <x:f>D231</x:f>
        <x:v>0.155</x:v>
      </x:c>
      <x:c r="R231" s="30" t="n">
        <x:f>B231+C231+E231+F231+L231</x:f>
        <x:v>1419600</x:v>
      </x:c>
      <x:c r="S231" s="30" t="n">
        <x:f>(B231+E231)*J231</x:f>
        <x:v>873.3333333333333</x:v>
      </x:c>
      <x:c r="T231" s="30" t="n">
        <x:f>C231+E231+F231+L231</x:f>
        <x:v>419600</x:v>
      </x:c>
      <x:c r="U231" s="30" t="n">
        <x:f>E231</x:f>
        <x:v>310000</x:v>
      </x:c>
      <x:c r="V231" s="30" t="n">
        <x:f>C231</x:f>
        <x:v>1000</x:v>
      </x:c>
      <x:c r="W231" s="30" t="n">
        <x:f>F231</x:f>
        <x:v>30000</x:v>
      </x:c>
      <x:c r="X231" s="30" t="n">
        <x:f>L231</x:f>
        <x:v>78600</x:v>
      </x:c>
      <x:c r="Y231" s="30" t="n">
        <x:f>SUM(U231:X231)</x:f>
        <x:v>419600</x:v>
      </x:c>
    </x:row>
    <x:row r="232">
      <x:c r="A232" t="str">
        <x:v>Short Term Contract</x:v>
      </x:c>
      <x:c r="B232" s="30" t="n">
        <x:v>1000000</x:v>
      </x:c>
      <x:c r="C232" s="30" t="n">
        <x:f>Inputs!$G$5</x:f>
        <x:v>1000</x:v>
      </x:c>
      <x:c r="D232" s="20" t="n">
        <x:f>Inputs!$G$4+VLOOKUP(M232,Inputs!$A$4:$B$7,2,FALSE)</x:f>
        <x:v>0.155</x:v>
      </x:c>
      <x:c r="E232" s="30" t="n">
        <x:f>B232*D232*N232/Inputs!$G$8</x:f>
        <x:v>310000</x:v>
      </x:c>
      <x:c r="F232" s="30" t="n">
        <x:f>B232*Inputs!$G$6</x:f>
        <x:v>30000</x:v>
      </x:c>
      <x:c r="G232" t="str">
        <x:v>120 Days</x:v>
      </x:c>
      <x:c r="H232" s="28" t="n">
        <x:v>120</x:v>
      </x:c>
      <x:c r="I232" s="52" t="n">
        <x:f>Inputs!$G$7</x:f>
        <x:v>0.02</x:v>
      </x:c>
      <x:c r="J232" s="52" t="n">
        <x:f>I232/30</x:f>
        <x:v>0.0006666666666666666</x:v>
      </x:c>
      <x:c r="K232" s="52" t="n">
        <x:f>J232*H232</x:f>
        <x:v>0.08</x:v>
      </x:c>
      <x:c r="L232" s="30" t="n">
        <x:f>(B232+E232)*K232</x:f>
        <x:v>104800</x:v>
      </x:c>
      <x:c r="M232" s="30" t="n">
        <x:f>E232</x:f>
        <x:v>310000</x:v>
      </x:c>
      <x:c r="N232" s="30">
        <x:f>R232-C232-F232</x:f>
      </x:c>
      <x:c r="O232" s="20" t="str">
        <x:f>IF(ABS(D232-(Inputs!$G$4+Inputs!$B$4))&lt;0.000001,"Low Risk",IF(ABS(D232-(Inputs!$G$4+Inputs!$B$5))&lt;0.000001,"Moderate Risk",IF(ABS(D232-(Inputs!$G$4+Inputs!$B$6))&lt;0.000001,"High Risk","Worst Scenario")))</x:f>
        <x:v>Low Risk</x:v>
      </x:c>
      <x:c r="P232" s="28" t="n">
        <x:f>IF(A232="Purchase Order Funding",Inputs!$G$13,IF(B232=500000,180,IF(B232=750000,365,1095)))</x:f>
        <x:v>1095</x:v>
      </x:c>
      <x:c r="Q232" s="20" t="n">
        <x:f>D232</x:f>
        <x:v>0.155</x:v>
      </x:c>
      <x:c r="R232" s="30" t="n">
        <x:f>B232+C232+E232+F232+L232</x:f>
        <x:v>1445800</x:v>
      </x:c>
      <x:c r="S232" s="30" t="n">
        <x:f>(B232+E232)*J232</x:f>
        <x:v>873.3333333333333</x:v>
      </x:c>
      <x:c r="T232" s="30" t="n">
        <x:f>C232+E232+F232+L232</x:f>
        <x:v>445800</x:v>
      </x:c>
      <x:c r="U232" s="30" t="n">
        <x:f>E232</x:f>
        <x:v>310000</x:v>
      </x:c>
      <x:c r="V232" s="30" t="n">
        <x:f>C232</x:f>
        <x:v>1000</x:v>
      </x:c>
      <x:c r="W232" s="30" t="n">
        <x:f>F232</x:f>
        <x:v>30000</x:v>
      </x:c>
      <x:c r="X232" s="30" t="n">
        <x:f>L232</x:f>
        <x:v>104800</x:v>
      </x:c>
      <x:c r="Y232" s="30" t="n">
        <x:f>SUM(U232:X232)</x:f>
        <x:v>445800</x:v>
      </x:c>
    </x:row>
    <x:row r="233">
      <x:c r="A233" t="str">
        <x:v>Short Term Contract</x:v>
      </x:c>
      <x:c r="B233" s="30" t="n">
        <x:v>1000000</x:v>
      </x:c>
      <x:c r="C233" s="30" t="n">
        <x:f>Inputs!$G$5</x:f>
        <x:v>1000</x:v>
      </x:c>
      <x:c r="D233" s="20" t="n">
        <x:f>Inputs!$G$4+VLOOKUP(M233,Inputs!$A$4:$B$7,2,FALSE)</x:f>
        <x:v>0.16999999999999998</x:v>
      </x:c>
      <x:c r="E233" s="30" t="n">
        <x:f>B233*D233*N233/Inputs!$G$8</x:f>
        <x:v>339999.99999999994</x:v>
      </x:c>
      <x:c r="F233" s="30" t="n">
        <x:f>B233*Inputs!$G$6</x:f>
        <x:v>30000</x:v>
      </x:c>
      <x:c r="G233" t="str">
        <x:v>30 Days</x:v>
      </x:c>
      <x:c r="H233" s="28" t="n">
        <x:v>30</x:v>
      </x:c>
      <x:c r="I233" s="52" t="n">
        <x:f>Inputs!$G$7</x:f>
        <x:v>0.02</x:v>
      </x:c>
      <x:c r="J233" s="52" t="n">
        <x:f>I233/30</x:f>
        <x:v>0.0006666666666666666</x:v>
      </x:c>
      <x:c r="K233" s="52" t="n">
        <x:f>J233*H233</x:f>
        <x:v>0.02</x:v>
      </x:c>
      <x:c r="L233" s="30" t="n">
        <x:f>(B233+E233)*K233</x:f>
        <x:v>26800</x:v>
      </x:c>
      <x:c r="M233" s="30" t="n">
        <x:f>E233</x:f>
        <x:v>339999.99999999994</x:v>
      </x:c>
      <x:c r="N233" s="30">
        <x:f>R233-C233-F233</x:f>
      </x:c>
      <x:c r="O233" s="20" t="str">
        <x:f>IF(ABS(D233-(Inputs!$G$4+Inputs!$B$4))&lt;0.000001,"Low Risk",IF(ABS(D233-(Inputs!$G$4+Inputs!$B$5))&lt;0.000001,"Moderate Risk",IF(ABS(D233-(Inputs!$G$4+Inputs!$B$6))&lt;0.000001,"High Risk","Worst Scenario")))</x:f>
        <x:v>Moderate Risk</x:v>
      </x:c>
      <x:c r="P233" s="28" t="n">
        <x:f>IF(A233="Purchase Order Funding",Inputs!$G$13,IF(B233=500000,180,IF(B233=750000,365,1095)))</x:f>
        <x:v>1095</x:v>
      </x:c>
      <x:c r="Q233" s="20" t="n">
        <x:f>D233</x:f>
        <x:v>0.16999999999999998</x:v>
      </x:c>
      <x:c r="R233" s="30" t="n">
        <x:f>B233+C233+E233+F233+L233</x:f>
        <x:v>1397800</x:v>
      </x:c>
      <x:c r="S233" s="30" t="n">
        <x:f>(B233+E233)*J233</x:f>
        <x:v>893.3333333333333</x:v>
      </x:c>
      <x:c r="T233" s="30" t="n">
        <x:f>C233+E233+F233+L233</x:f>
        <x:v>397799.99999999994</x:v>
      </x:c>
      <x:c r="U233" s="30" t="n">
        <x:f>E233</x:f>
        <x:v>339999.99999999994</x:v>
      </x:c>
      <x:c r="V233" s="30" t="n">
        <x:f>C233</x:f>
        <x:v>1000</x:v>
      </x:c>
      <x:c r="W233" s="30" t="n">
        <x:f>F233</x:f>
        <x:v>30000</x:v>
      </x:c>
      <x:c r="X233" s="30" t="n">
        <x:f>L233</x:f>
        <x:v>26800</x:v>
      </x:c>
      <x:c r="Y233" s="30" t="n">
        <x:f>SUM(U233:X233)</x:f>
        <x:v>397799.99999999994</x:v>
      </x:c>
    </x:row>
    <x:row r="234">
      <x:c r="A234" t="str">
        <x:v>Short Term Contract</x:v>
      </x:c>
      <x:c r="B234" s="30" t="n">
        <x:v>1000000</x:v>
      </x:c>
      <x:c r="C234" s="30" t="n">
        <x:f>Inputs!$G$5</x:f>
        <x:v>1000</x:v>
      </x:c>
      <x:c r="D234" s="20" t="n">
        <x:f>Inputs!$G$4+VLOOKUP(M234,Inputs!$A$4:$B$7,2,FALSE)</x:f>
        <x:v>0.16999999999999998</x:v>
      </x:c>
      <x:c r="E234" s="30" t="n">
        <x:f>B234*D234*N234/Inputs!$G$8</x:f>
        <x:v>339999.99999999994</x:v>
      </x:c>
      <x:c r="F234" s="30" t="n">
        <x:f>B234*Inputs!$G$6</x:f>
        <x:v>30000</x:v>
      </x:c>
      <x:c r="G234" t="str">
        <x:v>60 Days</x:v>
      </x:c>
      <x:c r="H234" s="28" t="n">
        <x:v>60</x:v>
      </x:c>
      <x:c r="I234" s="52" t="n">
        <x:f>Inputs!$G$7</x:f>
        <x:v>0.02</x:v>
      </x:c>
      <x:c r="J234" s="52" t="n">
        <x:f>I234/30</x:f>
        <x:v>0.0006666666666666666</x:v>
      </x:c>
      <x:c r="K234" s="52" t="n">
        <x:f>J234*H234</x:f>
        <x:v>0.04</x:v>
      </x:c>
      <x:c r="L234" s="30" t="n">
        <x:f>(B234+E234)*K234</x:f>
        <x:v>53600</x:v>
      </x:c>
      <x:c r="M234" s="30" t="n">
        <x:f>E234</x:f>
        <x:v>339999.99999999994</x:v>
      </x:c>
      <x:c r="N234" s="30">
        <x:f>R234-C234-F234</x:f>
      </x:c>
      <x:c r="O234" s="20" t="str">
        <x:f>IF(ABS(D234-(Inputs!$G$4+Inputs!$B$4))&lt;0.000001,"Low Risk",IF(ABS(D234-(Inputs!$G$4+Inputs!$B$5))&lt;0.000001,"Moderate Risk",IF(ABS(D234-(Inputs!$G$4+Inputs!$B$6))&lt;0.000001,"High Risk","Worst Scenario")))</x:f>
        <x:v>Moderate Risk</x:v>
      </x:c>
      <x:c r="P234" s="28" t="n">
        <x:f>IF(A234="Purchase Order Funding",Inputs!$G$13,IF(B234=500000,180,IF(B234=750000,365,1095)))</x:f>
        <x:v>1095</x:v>
      </x:c>
      <x:c r="Q234" s="20" t="n">
        <x:f>D234</x:f>
        <x:v>0.16999999999999998</x:v>
      </x:c>
      <x:c r="R234" s="30" t="n">
        <x:f>B234+C234+E234+F234+L234</x:f>
        <x:v>1424600</x:v>
      </x:c>
      <x:c r="S234" s="30" t="n">
        <x:f>(B234+E234)*J234</x:f>
        <x:v>893.3333333333333</x:v>
      </x:c>
      <x:c r="T234" s="30" t="n">
        <x:f>C234+E234+F234+L234</x:f>
        <x:v>424599.99999999994</x:v>
      </x:c>
      <x:c r="U234" s="30" t="n">
        <x:f>E234</x:f>
        <x:v>339999.99999999994</x:v>
      </x:c>
      <x:c r="V234" s="30" t="n">
        <x:f>C234</x:f>
        <x:v>1000</x:v>
      </x:c>
      <x:c r="W234" s="30" t="n">
        <x:f>F234</x:f>
        <x:v>30000</x:v>
      </x:c>
      <x:c r="X234" s="30" t="n">
        <x:f>L234</x:f>
        <x:v>53600</x:v>
      </x:c>
      <x:c r="Y234" s="30" t="n">
        <x:f>SUM(U234:X234)</x:f>
        <x:v>424599.99999999994</x:v>
      </x:c>
    </x:row>
    <x:row r="235">
      <x:c r="A235" t="str">
        <x:v>Short Term Contract</x:v>
      </x:c>
      <x:c r="B235" s="30" t="n">
        <x:v>1000000</x:v>
      </x:c>
      <x:c r="C235" s="30" t="n">
        <x:f>Inputs!$G$5</x:f>
        <x:v>1000</x:v>
      </x:c>
      <x:c r="D235" s="20" t="n">
        <x:f>Inputs!$G$4+VLOOKUP(M235,Inputs!$A$4:$B$7,2,FALSE)</x:f>
        <x:v>0.16999999999999998</x:v>
      </x:c>
      <x:c r="E235" s="30" t="n">
        <x:f>B235*D235*N235/Inputs!$G$8</x:f>
        <x:v>339999.99999999994</x:v>
      </x:c>
      <x:c r="F235" s="30" t="n">
        <x:f>B235*Inputs!$G$6</x:f>
        <x:v>30000</x:v>
      </x:c>
      <x:c r="G235" t="str">
        <x:v>90 Days</x:v>
      </x:c>
      <x:c r="H235" s="28" t="n">
        <x:v>90</x:v>
      </x:c>
      <x:c r="I235" s="52" t="n">
        <x:f>Inputs!$G$7</x:f>
        <x:v>0.02</x:v>
      </x:c>
      <x:c r="J235" s="52" t="n">
        <x:f>I235/30</x:f>
        <x:v>0.0006666666666666666</x:v>
      </x:c>
      <x:c r="K235" s="52" t="n">
        <x:f>J235*H235</x:f>
        <x:v>0.06</x:v>
      </x:c>
      <x:c r="L235" s="30" t="n">
        <x:f>(B235+E235)*K235</x:f>
        <x:v>80400</x:v>
      </x:c>
      <x:c r="M235" s="30" t="n">
        <x:f>E235</x:f>
        <x:v>339999.99999999994</x:v>
      </x:c>
      <x:c r="N235" s="30">
        <x:f>R235-C235-F235</x:f>
      </x:c>
      <x:c r="O235" s="20" t="str">
        <x:f>IF(ABS(D235-(Inputs!$G$4+Inputs!$B$4))&lt;0.000001,"Low Risk",IF(ABS(D235-(Inputs!$G$4+Inputs!$B$5))&lt;0.000001,"Moderate Risk",IF(ABS(D235-(Inputs!$G$4+Inputs!$B$6))&lt;0.000001,"High Risk","Worst Scenario")))</x:f>
        <x:v>Moderate Risk</x:v>
      </x:c>
      <x:c r="P235" s="28" t="n">
        <x:f>IF(A235="Purchase Order Funding",Inputs!$G$13,IF(B235=500000,180,IF(B235=750000,365,1095)))</x:f>
        <x:v>1095</x:v>
      </x:c>
      <x:c r="Q235" s="20" t="n">
        <x:f>D235</x:f>
        <x:v>0.16999999999999998</x:v>
      </x:c>
      <x:c r="R235" s="30" t="n">
        <x:f>B235+C235+E235+F235+L235</x:f>
        <x:v>1451400</x:v>
      </x:c>
      <x:c r="S235" s="30" t="n">
        <x:f>(B235+E235)*J235</x:f>
        <x:v>893.3333333333333</x:v>
      </x:c>
      <x:c r="T235" s="30" t="n">
        <x:f>C235+E235+F235+L235</x:f>
        <x:v>451399.99999999994</x:v>
      </x:c>
      <x:c r="U235" s="30" t="n">
        <x:f>E235</x:f>
        <x:v>339999.99999999994</x:v>
      </x:c>
      <x:c r="V235" s="30" t="n">
        <x:f>C235</x:f>
        <x:v>1000</x:v>
      </x:c>
      <x:c r="W235" s="30" t="n">
        <x:f>F235</x:f>
        <x:v>30000</x:v>
      </x:c>
      <x:c r="X235" s="30" t="n">
        <x:f>L235</x:f>
        <x:v>80400</x:v>
      </x:c>
      <x:c r="Y235" s="30" t="n">
        <x:f>SUM(U235:X235)</x:f>
        <x:v>451399.99999999994</x:v>
      </x:c>
    </x:row>
    <x:row r="236">
      <x:c r="A236" t="str">
        <x:v>Short Term Contract</x:v>
      </x:c>
      <x:c r="B236" s="30" t="n">
        <x:v>1000000</x:v>
      </x:c>
      <x:c r="C236" s="30" t="n">
        <x:f>Inputs!$G$5</x:f>
        <x:v>1000</x:v>
      </x:c>
      <x:c r="D236" s="20" t="n">
        <x:f>Inputs!$G$4+VLOOKUP(M236,Inputs!$A$4:$B$7,2,FALSE)</x:f>
        <x:v>0.16999999999999998</x:v>
      </x:c>
      <x:c r="E236" s="30" t="n">
        <x:f>B236*D236*N236/Inputs!$G$8</x:f>
        <x:v>339999.99999999994</x:v>
      </x:c>
      <x:c r="F236" s="30" t="n">
        <x:f>B236*Inputs!$G$6</x:f>
        <x:v>30000</x:v>
      </x:c>
      <x:c r="G236" t="str">
        <x:v>120 Days</x:v>
      </x:c>
      <x:c r="H236" s="28" t="n">
        <x:v>120</x:v>
      </x:c>
      <x:c r="I236" s="52" t="n">
        <x:f>Inputs!$G$7</x:f>
        <x:v>0.02</x:v>
      </x:c>
      <x:c r="J236" s="52" t="n">
        <x:f>I236/30</x:f>
        <x:v>0.0006666666666666666</x:v>
      </x:c>
      <x:c r="K236" s="52" t="n">
        <x:f>J236*H236</x:f>
        <x:v>0.08</x:v>
      </x:c>
      <x:c r="L236" s="30" t="n">
        <x:f>(B236+E236)*K236</x:f>
        <x:v>107200</x:v>
      </x:c>
      <x:c r="M236" s="30" t="n">
        <x:f>E236</x:f>
        <x:v>339999.99999999994</x:v>
      </x:c>
      <x:c r="N236" s="30">
        <x:f>R236-C236-F236</x:f>
      </x:c>
      <x:c r="O236" s="20" t="str">
        <x:f>IF(ABS(D236-(Inputs!$G$4+Inputs!$B$4))&lt;0.000001,"Low Risk",IF(ABS(D236-(Inputs!$G$4+Inputs!$B$5))&lt;0.000001,"Moderate Risk",IF(ABS(D236-(Inputs!$G$4+Inputs!$B$6))&lt;0.000001,"High Risk","Worst Scenario")))</x:f>
        <x:v>Moderate Risk</x:v>
      </x:c>
      <x:c r="P236" s="28" t="n">
        <x:f>IF(A236="Purchase Order Funding",Inputs!$G$13,IF(B236=500000,180,IF(B236=750000,365,1095)))</x:f>
        <x:v>1095</x:v>
      </x:c>
      <x:c r="Q236" s="20" t="n">
        <x:f>D236</x:f>
        <x:v>0.16999999999999998</x:v>
      </x:c>
      <x:c r="R236" s="30" t="n">
        <x:f>B236+C236+E236+F236+L236</x:f>
        <x:v>1478200</x:v>
      </x:c>
      <x:c r="S236" s="30" t="n">
        <x:f>(B236+E236)*J236</x:f>
        <x:v>893.3333333333333</x:v>
      </x:c>
      <x:c r="T236" s="30" t="n">
        <x:f>C236+E236+F236+L236</x:f>
        <x:v>478199.99999999994</x:v>
      </x:c>
      <x:c r="U236" s="30" t="n">
        <x:f>E236</x:f>
        <x:v>339999.99999999994</x:v>
      </x:c>
      <x:c r="V236" s="30" t="n">
        <x:f>C236</x:f>
        <x:v>1000</x:v>
      </x:c>
      <x:c r="W236" s="30" t="n">
        <x:f>F236</x:f>
        <x:v>30000</x:v>
      </x:c>
      <x:c r="X236" s="30" t="n">
        <x:f>L236</x:f>
        <x:v>107200</x:v>
      </x:c>
      <x:c r="Y236" s="30" t="n">
        <x:f>SUM(U236:X236)</x:f>
        <x:v>478199.99999999994</x:v>
      </x:c>
    </x:row>
    <x:row r="237">
      <x:c r="A237" t="str">
        <x:v>Short Term Contract</x:v>
      </x:c>
      <x:c r="B237" s="30" t="n">
        <x:v>1000000</x:v>
      </x:c>
      <x:c r="C237" s="30" t="n">
        <x:f>Inputs!$G$5</x:f>
        <x:v>1000</x:v>
      </x:c>
      <x:c r="D237" s="20" t="n">
        <x:f>Inputs!$G$4+VLOOKUP(M237,Inputs!$A$4:$B$7,2,FALSE)</x:f>
        <x:v>0.19</x:v>
      </x:c>
      <x:c r="E237" s="30" t="n">
        <x:f>B237*D237*N237/Inputs!$G$8</x:f>
        <x:v>380000</x:v>
      </x:c>
      <x:c r="F237" s="30" t="n">
        <x:f>B237*Inputs!$G$6</x:f>
        <x:v>30000</x:v>
      </x:c>
      <x:c r="G237" t="str">
        <x:v>30 Days</x:v>
      </x:c>
      <x:c r="H237" s="28" t="n">
        <x:v>30</x:v>
      </x:c>
      <x:c r="I237" s="52" t="n">
        <x:f>Inputs!$G$7</x:f>
        <x:v>0.02</x:v>
      </x:c>
      <x:c r="J237" s="52" t="n">
        <x:f>I237/30</x:f>
        <x:v>0.0006666666666666666</x:v>
      </x:c>
      <x:c r="K237" s="52" t="n">
        <x:f>J237*H237</x:f>
        <x:v>0.02</x:v>
      </x:c>
      <x:c r="L237" s="30" t="n">
        <x:f>(B237+E237)*K237</x:f>
        <x:v>27600</x:v>
      </x:c>
      <x:c r="M237" s="30" t="n">
        <x:f>E237</x:f>
        <x:v>380000</x:v>
      </x:c>
      <x:c r="N237" s="30">
        <x:f>R237-C237-F237</x:f>
      </x:c>
      <x:c r="O237" s="20" t="str">
        <x:f>IF(ABS(D237-(Inputs!$G$4+Inputs!$B$4))&lt;0.000001,"Low Risk",IF(ABS(D237-(Inputs!$G$4+Inputs!$B$5))&lt;0.000001,"Moderate Risk",IF(ABS(D237-(Inputs!$G$4+Inputs!$B$6))&lt;0.000001,"High Risk","Worst Scenario")))</x:f>
        <x:v>High Risk</x:v>
      </x:c>
      <x:c r="P237" s="28" t="n">
        <x:f>IF(A237="Purchase Order Funding",Inputs!$G$13,IF(B237=500000,180,IF(B237=750000,365,1095)))</x:f>
        <x:v>1095</x:v>
      </x:c>
      <x:c r="Q237" s="20" t="n">
        <x:f>D237</x:f>
        <x:v>0.19</x:v>
      </x:c>
      <x:c r="R237" s="30" t="n">
        <x:f>B237+C237+E237+F237+L237</x:f>
        <x:v>1438600</x:v>
      </x:c>
      <x:c r="S237" s="30" t="n">
        <x:f>(B237+E237)*J237</x:f>
        <x:v>920</x:v>
      </x:c>
      <x:c r="T237" s="30" t="n">
        <x:f>C237+E237+F237+L237</x:f>
        <x:v>438600</x:v>
      </x:c>
      <x:c r="U237" s="30" t="n">
        <x:f>E237</x:f>
        <x:v>380000</x:v>
      </x:c>
      <x:c r="V237" s="30" t="n">
        <x:f>C237</x:f>
        <x:v>1000</x:v>
      </x:c>
      <x:c r="W237" s="30" t="n">
        <x:f>F237</x:f>
        <x:v>30000</x:v>
      </x:c>
      <x:c r="X237" s="30" t="n">
        <x:f>L237</x:f>
        <x:v>27600</x:v>
      </x:c>
      <x:c r="Y237" s="30" t="n">
        <x:f>SUM(U237:X237)</x:f>
        <x:v>438600</x:v>
      </x:c>
    </x:row>
    <x:row r="238">
      <x:c r="A238" t="str">
        <x:v>Short Term Contract</x:v>
      </x:c>
      <x:c r="B238" s="30" t="n">
        <x:v>1000000</x:v>
      </x:c>
      <x:c r="C238" s="30" t="n">
        <x:f>Inputs!$G$5</x:f>
        <x:v>1000</x:v>
      </x:c>
      <x:c r="D238" s="20" t="n">
        <x:f>Inputs!$G$4+VLOOKUP(M238,Inputs!$A$4:$B$7,2,FALSE)</x:f>
        <x:v>0.19</x:v>
      </x:c>
      <x:c r="E238" s="30" t="n">
        <x:f>B238*D238*N238/Inputs!$G$8</x:f>
        <x:v>380000</x:v>
      </x:c>
      <x:c r="F238" s="30" t="n">
        <x:f>B238*Inputs!$G$6</x:f>
        <x:v>30000</x:v>
      </x:c>
      <x:c r="G238" t="str">
        <x:v>60 Days</x:v>
      </x:c>
      <x:c r="H238" s="28" t="n">
        <x:v>60</x:v>
      </x:c>
      <x:c r="I238" s="52" t="n">
        <x:f>Inputs!$G$7</x:f>
        <x:v>0.02</x:v>
      </x:c>
      <x:c r="J238" s="52" t="n">
        <x:f>I238/30</x:f>
        <x:v>0.0006666666666666666</x:v>
      </x:c>
      <x:c r="K238" s="52" t="n">
        <x:f>J238*H238</x:f>
        <x:v>0.04</x:v>
      </x:c>
      <x:c r="L238" s="30" t="n">
        <x:f>(B238+E238)*K238</x:f>
        <x:v>55200</x:v>
      </x:c>
      <x:c r="M238" s="30" t="n">
        <x:f>E238</x:f>
        <x:v>380000</x:v>
      </x:c>
      <x:c r="N238" s="30">
        <x:f>R238-C238-F238</x:f>
      </x:c>
      <x:c r="O238" s="20" t="str">
        <x:f>IF(ABS(D238-(Inputs!$G$4+Inputs!$B$4))&lt;0.000001,"Low Risk",IF(ABS(D238-(Inputs!$G$4+Inputs!$B$5))&lt;0.000001,"Moderate Risk",IF(ABS(D238-(Inputs!$G$4+Inputs!$B$6))&lt;0.000001,"High Risk","Worst Scenario")))</x:f>
        <x:v>High Risk</x:v>
      </x:c>
      <x:c r="P238" s="28" t="n">
        <x:f>IF(A238="Purchase Order Funding",Inputs!$G$13,IF(B238=500000,180,IF(B238=750000,365,1095)))</x:f>
        <x:v>1095</x:v>
      </x:c>
      <x:c r="Q238" s="20" t="n">
        <x:f>D238</x:f>
        <x:v>0.19</x:v>
      </x:c>
      <x:c r="R238" s="30" t="n">
        <x:f>B238+C238+E238+F238+L238</x:f>
        <x:v>1466200</x:v>
      </x:c>
      <x:c r="S238" s="30" t="n">
        <x:f>(B238+E238)*J238</x:f>
        <x:v>920</x:v>
      </x:c>
      <x:c r="T238" s="30" t="n">
        <x:f>C238+E238+F238+L238</x:f>
        <x:v>466200</x:v>
      </x:c>
      <x:c r="U238" s="30" t="n">
        <x:f>E238</x:f>
        <x:v>380000</x:v>
      </x:c>
      <x:c r="V238" s="30" t="n">
        <x:f>C238</x:f>
        <x:v>1000</x:v>
      </x:c>
      <x:c r="W238" s="30" t="n">
        <x:f>F238</x:f>
        <x:v>30000</x:v>
      </x:c>
      <x:c r="X238" s="30" t="n">
        <x:f>L238</x:f>
        <x:v>55200</x:v>
      </x:c>
      <x:c r="Y238" s="30" t="n">
        <x:f>SUM(U238:X238)</x:f>
        <x:v>466200</x:v>
      </x:c>
    </x:row>
    <x:row r="239">
      <x:c r="A239" t="str">
        <x:v>Short Term Contract</x:v>
      </x:c>
      <x:c r="B239" s="30" t="n">
        <x:v>1000000</x:v>
      </x:c>
      <x:c r="C239" s="30" t="n">
        <x:f>Inputs!$G$5</x:f>
        <x:v>1000</x:v>
      </x:c>
      <x:c r="D239" s="20" t="n">
        <x:f>Inputs!$G$4+VLOOKUP(M239,Inputs!$A$4:$B$7,2,FALSE)</x:f>
        <x:v>0.19</x:v>
      </x:c>
      <x:c r="E239" s="30" t="n">
        <x:f>B239*D239*N239/Inputs!$G$8</x:f>
        <x:v>380000</x:v>
      </x:c>
      <x:c r="F239" s="30" t="n">
        <x:f>B239*Inputs!$G$6</x:f>
        <x:v>30000</x:v>
      </x:c>
      <x:c r="G239" t="str">
        <x:v>90 Days</x:v>
      </x:c>
      <x:c r="H239" s="28" t="n">
        <x:v>90</x:v>
      </x:c>
      <x:c r="I239" s="52" t="n">
        <x:f>Inputs!$G$7</x:f>
        <x:v>0.02</x:v>
      </x:c>
      <x:c r="J239" s="52" t="n">
        <x:f>I239/30</x:f>
        <x:v>0.0006666666666666666</x:v>
      </x:c>
      <x:c r="K239" s="52" t="n">
        <x:f>J239*H239</x:f>
        <x:v>0.06</x:v>
      </x:c>
      <x:c r="L239" s="30" t="n">
        <x:f>(B239+E239)*K239</x:f>
        <x:v>82800</x:v>
      </x:c>
      <x:c r="M239" s="30" t="n">
        <x:f>E239</x:f>
        <x:v>380000</x:v>
      </x:c>
      <x:c r="N239" s="30">
        <x:f>R239-C239-F239</x:f>
      </x:c>
      <x:c r="O239" s="20" t="str">
        <x:f>IF(ABS(D239-(Inputs!$G$4+Inputs!$B$4))&lt;0.000001,"Low Risk",IF(ABS(D239-(Inputs!$G$4+Inputs!$B$5))&lt;0.000001,"Moderate Risk",IF(ABS(D239-(Inputs!$G$4+Inputs!$B$6))&lt;0.000001,"High Risk","Worst Scenario")))</x:f>
        <x:v>High Risk</x:v>
      </x:c>
      <x:c r="P239" s="28" t="n">
        <x:f>IF(A239="Purchase Order Funding",Inputs!$G$13,IF(B239=500000,180,IF(B239=750000,365,1095)))</x:f>
        <x:v>1095</x:v>
      </x:c>
      <x:c r="Q239" s="20" t="n">
        <x:f>D239</x:f>
        <x:v>0.19</x:v>
      </x:c>
      <x:c r="R239" s="30" t="n">
        <x:f>B239+C239+E239+F239+L239</x:f>
        <x:v>1493800</x:v>
      </x:c>
      <x:c r="S239" s="30" t="n">
        <x:f>(B239+E239)*J239</x:f>
        <x:v>920</x:v>
      </x:c>
      <x:c r="T239" s="30" t="n">
        <x:f>C239+E239+F239+L239</x:f>
        <x:v>493800</x:v>
      </x:c>
      <x:c r="U239" s="30" t="n">
        <x:f>E239</x:f>
        <x:v>380000</x:v>
      </x:c>
      <x:c r="V239" s="30" t="n">
        <x:f>C239</x:f>
        <x:v>1000</x:v>
      </x:c>
      <x:c r="W239" s="30" t="n">
        <x:f>F239</x:f>
        <x:v>30000</x:v>
      </x:c>
      <x:c r="X239" s="30" t="n">
        <x:f>L239</x:f>
        <x:v>82800</x:v>
      </x:c>
      <x:c r="Y239" s="30" t="n">
        <x:f>SUM(U239:X239)</x:f>
        <x:v>493800</x:v>
      </x:c>
    </x:row>
    <x:row r="240">
      <x:c r="A240" t="str">
        <x:v>Short Term Contract</x:v>
      </x:c>
      <x:c r="B240" s="30" t="n">
        <x:v>1000000</x:v>
      </x:c>
      <x:c r="C240" s="30" t="n">
        <x:f>Inputs!$G$5</x:f>
        <x:v>1000</x:v>
      </x:c>
      <x:c r="D240" s="20" t="n">
        <x:f>Inputs!$G$4+VLOOKUP(M240,Inputs!$A$4:$B$7,2,FALSE)</x:f>
        <x:v>0.19</x:v>
      </x:c>
      <x:c r="E240" s="30" t="n">
        <x:f>B240*D240*N240/Inputs!$G$8</x:f>
        <x:v>380000</x:v>
      </x:c>
      <x:c r="F240" s="30" t="n">
        <x:f>B240*Inputs!$G$6</x:f>
        <x:v>30000</x:v>
      </x:c>
      <x:c r="G240" t="str">
        <x:v>120 Days</x:v>
      </x:c>
      <x:c r="H240" s="28" t="n">
        <x:v>120</x:v>
      </x:c>
      <x:c r="I240" s="52" t="n">
        <x:f>Inputs!$G$7</x:f>
        <x:v>0.02</x:v>
      </x:c>
      <x:c r="J240" s="52" t="n">
        <x:f>I240/30</x:f>
        <x:v>0.0006666666666666666</x:v>
      </x:c>
      <x:c r="K240" s="52" t="n">
        <x:f>J240*H240</x:f>
        <x:v>0.08</x:v>
      </x:c>
      <x:c r="L240" s="30" t="n">
        <x:f>(B240+E240)*K240</x:f>
        <x:v>110400</x:v>
      </x:c>
      <x:c r="M240" s="30" t="n">
        <x:f>E240</x:f>
        <x:v>380000</x:v>
      </x:c>
      <x:c r="N240" s="30">
        <x:f>R240-C240-F240</x:f>
      </x:c>
      <x:c r="O240" s="20" t="str">
        <x:f>IF(ABS(D240-(Inputs!$G$4+Inputs!$B$4))&lt;0.000001,"Low Risk",IF(ABS(D240-(Inputs!$G$4+Inputs!$B$5))&lt;0.000001,"Moderate Risk",IF(ABS(D240-(Inputs!$G$4+Inputs!$B$6))&lt;0.000001,"High Risk","Worst Scenario")))</x:f>
        <x:v>High Risk</x:v>
      </x:c>
      <x:c r="P240" s="28" t="n">
        <x:f>IF(A240="Purchase Order Funding",Inputs!$G$13,IF(B240=500000,180,IF(B240=750000,365,1095)))</x:f>
        <x:v>1095</x:v>
      </x:c>
      <x:c r="Q240" s="20" t="n">
        <x:f>D240</x:f>
        <x:v>0.19</x:v>
      </x:c>
      <x:c r="R240" s="30" t="n">
        <x:f>B240+C240+E240+F240+L240</x:f>
        <x:v>1521400</x:v>
      </x:c>
      <x:c r="S240" s="30" t="n">
        <x:f>(B240+E240)*J240</x:f>
        <x:v>920</x:v>
      </x:c>
      <x:c r="T240" s="30" t="n">
        <x:f>C240+E240+F240+L240</x:f>
        <x:v>521400</x:v>
      </x:c>
      <x:c r="U240" s="30" t="n">
        <x:f>E240</x:f>
        <x:v>380000</x:v>
      </x:c>
      <x:c r="V240" s="30" t="n">
        <x:f>C240</x:f>
        <x:v>1000</x:v>
      </x:c>
      <x:c r="W240" s="30" t="n">
        <x:f>F240</x:f>
        <x:v>30000</x:v>
      </x:c>
      <x:c r="X240" s="30" t="n">
        <x:f>L240</x:f>
        <x:v>110400</x:v>
      </x:c>
      <x:c r="Y240" s="30" t="n">
        <x:f>SUM(U240:X240)</x:f>
        <x:v>521400</x:v>
      </x:c>
    </x:row>
    <x:row r="241">
      <x:c r="A241" t="str">
        <x:v>Short Term Contract</x:v>
      </x:c>
      <x:c r="B241" s="30" t="n">
        <x:v>1000000</x:v>
      </x:c>
      <x:c r="C241" s="30" t="n">
        <x:f>Inputs!$G$5</x:f>
        <x:v>1000</x:v>
      </x:c>
      <x:c r="D241" s="20" t="n">
        <x:f>Inputs!$G$4+VLOOKUP(M241,Inputs!$A$4:$B$7,2,FALSE)</x:f>
        <x:v>0.21</x:v>
      </x:c>
      <x:c r="E241" s="30" t="n">
        <x:f>B241*D241*N241/Inputs!$G$8</x:f>
        <x:v>420000</x:v>
      </x:c>
      <x:c r="F241" s="30" t="n">
        <x:f>B241*Inputs!$G$6</x:f>
        <x:v>30000</x:v>
      </x:c>
      <x:c r="G241" t="str">
        <x:v>30 Days</x:v>
      </x:c>
      <x:c r="H241" s="28" t="n">
        <x:v>30</x:v>
      </x:c>
      <x:c r="I241" s="52" t="n">
        <x:f>Inputs!$G$7</x:f>
        <x:v>0.02</x:v>
      </x:c>
      <x:c r="J241" s="52" t="n">
        <x:f>I241/30</x:f>
        <x:v>0.0006666666666666666</x:v>
      </x:c>
      <x:c r="K241" s="52" t="n">
        <x:f>J241*H241</x:f>
        <x:v>0.02</x:v>
      </x:c>
      <x:c r="L241" s="30" t="n">
        <x:f>(B241+E241)*K241</x:f>
        <x:v>28400</x:v>
      </x:c>
      <x:c r="M241" s="30" t="n">
        <x:f>E241</x:f>
        <x:v>420000</x:v>
      </x:c>
      <x:c r="N241" s="30">
        <x:f>R241-C241-F241</x:f>
      </x:c>
      <x:c r="O241" s="20" t="str">
        <x:f>IF(ABS(D241-(Inputs!$G$4+Inputs!$B$4))&lt;0.000001,"Low Risk",IF(ABS(D241-(Inputs!$G$4+Inputs!$B$5))&lt;0.000001,"Moderate Risk",IF(ABS(D241-(Inputs!$G$4+Inputs!$B$6))&lt;0.000001,"High Risk","Worst Scenario")))</x:f>
        <x:v>Worst Scenario</x:v>
      </x:c>
      <x:c r="P241" s="28" t="n">
        <x:f>IF(A241="Purchase Order Funding",Inputs!$G$13,IF(B241=500000,180,IF(B241=750000,365,1095)))</x:f>
        <x:v>1095</x:v>
      </x:c>
      <x:c r="Q241" s="20" t="n">
        <x:f>D241</x:f>
        <x:v>0.21</x:v>
      </x:c>
      <x:c r="R241" s="30" t="n">
        <x:f>B241+C241+E241+F241+L241</x:f>
        <x:v>1479400</x:v>
      </x:c>
      <x:c r="S241" s="30" t="n">
        <x:f>(B241+E241)*J241</x:f>
        <x:v>946.6666666666666</x:v>
      </x:c>
      <x:c r="T241" s="30" t="n">
        <x:f>C241+E241+F241+L241</x:f>
        <x:v>479400</x:v>
      </x:c>
      <x:c r="U241" s="30" t="n">
        <x:f>E241</x:f>
        <x:v>420000</x:v>
      </x:c>
      <x:c r="V241" s="30" t="n">
        <x:f>C241</x:f>
        <x:v>1000</x:v>
      </x:c>
      <x:c r="W241" s="30" t="n">
        <x:f>F241</x:f>
        <x:v>30000</x:v>
      </x:c>
      <x:c r="X241" s="30" t="n">
        <x:f>L241</x:f>
        <x:v>28400</x:v>
      </x:c>
      <x:c r="Y241" s="30" t="n">
        <x:f>SUM(U241:X241)</x:f>
        <x:v>479400</x:v>
      </x:c>
    </x:row>
    <x:row r="242">
      <x:c r="A242" t="str">
        <x:v>Short Term Contract</x:v>
      </x:c>
      <x:c r="B242" s="30" t="n">
        <x:v>1000000</x:v>
      </x:c>
      <x:c r="C242" s="30" t="n">
        <x:f>Inputs!$G$5</x:f>
        <x:v>1000</x:v>
      </x:c>
      <x:c r="D242" s="20" t="n">
        <x:f>Inputs!$G$4+VLOOKUP(M242,Inputs!$A$4:$B$7,2,FALSE)</x:f>
        <x:v>0.21</x:v>
      </x:c>
      <x:c r="E242" s="30" t="n">
        <x:f>B242*D242*N242/Inputs!$G$8</x:f>
        <x:v>420000</x:v>
      </x:c>
      <x:c r="F242" s="30" t="n">
        <x:f>B242*Inputs!$G$6</x:f>
        <x:v>30000</x:v>
      </x:c>
      <x:c r="G242" t="str">
        <x:v>60 Days</x:v>
      </x:c>
      <x:c r="H242" s="28" t="n">
        <x:v>60</x:v>
      </x:c>
      <x:c r="I242" s="52" t="n">
        <x:f>Inputs!$G$7</x:f>
        <x:v>0.02</x:v>
      </x:c>
      <x:c r="J242" s="52" t="n">
        <x:f>I242/30</x:f>
        <x:v>0.0006666666666666666</x:v>
      </x:c>
      <x:c r="K242" s="52" t="n">
        <x:f>J242*H242</x:f>
        <x:v>0.04</x:v>
      </x:c>
      <x:c r="L242" s="30" t="n">
        <x:f>(B242+E242)*K242</x:f>
        <x:v>56800</x:v>
      </x:c>
      <x:c r="M242" s="30" t="n">
        <x:f>E242</x:f>
        <x:v>420000</x:v>
      </x:c>
      <x:c r="N242" s="30">
        <x:f>R242-C242-F242</x:f>
      </x:c>
      <x:c r="O242" s="20" t="str">
        <x:f>IF(ABS(D242-(Inputs!$G$4+Inputs!$B$4))&lt;0.000001,"Low Risk",IF(ABS(D242-(Inputs!$G$4+Inputs!$B$5))&lt;0.000001,"Moderate Risk",IF(ABS(D242-(Inputs!$G$4+Inputs!$B$6))&lt;0.000001,"High Risk","Worst Scenario")))</x:f>
        <x:v>Worst Scenario</x:v>
      </x:c>
      <x:c r="P242" s="28" t="n">
        <x:f>IF(A242="Purchase Order Funding",Inputs!$G$13,IF(B242=500000,180,IF(B242=750000,365,1095)))</x:f>
        <x:v>1095</x:v>
      </x:c>
      <x:c r="Q242" s="20" t="n">
        <x:f>D242</x:f>
        <x:v>0.21</x:v>
      </x:c>
      <x:c r="R242" s="30" t="n">
        <x:f>B242+C242+E242+F242+L242</x:f>
        <x:v>1507800</x:v>
      </x:c>
      <x:c r="S242" s="30" t="n">
        <x:f>(B242+E242)*J242</x:f>
        <x:v>946.6666666666666</x:v>
      </x:c>
      <x:c r="T242" s="30" t="n">
        <x:f>C242+E242+F242+L242</x:f>
        <x:v>507800</x:v>
      </x:c>
      <x:c r="U242" s="30" t="n">
        <x:f>E242</x:f>
        <x:v>420000</x:v>
      </x:c>
      <x:c r="V242" s="30" t="n">
        <x:f>C242</x:f>
        <x:v>1000</x:v>
      </x:c>
      <x:c r="W242" s="30" t="n">
        <x:f>F242</x:f>
        <x:v>30000</x:v>
      </x:c>
      <x:c r="X242" s="30" t="n">
        <x:f>L242</x:f>
        <x:v>56800</x:v>
      </x:c>
      <x:c r="Y242" s="30" t="n">
        <x:f>SUM(U242:X242)</x:f>
        <x:v>507800</x:v>
      </x:c>
    </x:row>
    <x:row r="243">
      <x:c r="A243" t="str">
        <x:v>Short Term Contract</x:v>
      </x:c>
      <x:c r="B243" s="30" t="n">
        <x:v>1000000</x:v>
      </x:c>
      <x:c r="C243" s="30" t="n">
        <x:f>Inputs!$G$5</x:f>
        <x:v>1000</x:v>
      </x:c>
      <x:c r="D243" s="20" t="n">
        <x:f>Inputs!$G$4+VLOOKUP(M243,Inputs!$A$4:$B$7,2,FALSE)</x:f>
        <x:v>0.21</x:v>
      </x:c>
      <x:c r="E243" s="30" t="n">
        <x:f>B243*D243*N243/Inputs!$G$8</x:f>
        <x:v>420000</x:v>
      </x:c>
      <x:c r="F243" s="30" t="n">
        <x:f>B243*Inputs!$G$6</x:f>
        <x:v>30000</x:v>
      </x:c>
      <x:c r="G243" t="str">
        <x:v>90 Days</x:v>
      </x:c>
      <x:c r="H243" s="28" t="n">
        <x:v>90</x:v>
      </x:c>
      <x:c r="I243" s="52" t="n">
        <x:f>Inputs!$G$7</x:f>
        <x:v>0.02</x:v>
      </x:c>
      <x:c r="J243" s="52" t="n">
        <x:f>I243/30</x:f>
        <x:v>0.0006666666666666666</x:v>
      </x:c>
      <x:c r="K243" s="52" t="n">
        <x:f>J243*H243</x:f>
        <x:v>0.06</x:v>
      </x:c>
      <x:c r="L243" s="30" t="n">
        <x:f>(B243+E243)*K243</x:f>
        <x:v>85200</x:v>
      </x:c>
      <x:c r="M243" s="30" t="n">
        <x:f>E243</x:f>
        <x:v>420000</x:v>
      </x:c>
      <x:c r="N243" s="30">
        <x:f>R243-C243-F243</x:f>
      </x:c>
      <x:c r="O243" s="20" t="str">
        <x:f>IF(ABS(D243-(Inputs!$G$4+Inputs!$B$4))&lt;0.000001,"Low Risk",IF(ABS(D243-(Inputs!$G$4+Inputs!$B$5))&lt;0.000001,"Moderate Risk",IF(ABS(D243-(Inputs!$G$4+Inputs!$B$6))&lt;0.000001,"High Risk","Worst Scenario")))</x:f>
        <x:v>Worst Scenario</x:v>
      </x:c>
      <x:c r="P243" s="28" t="n">
        <x:f>IF(A243="Purchase Order Funding",Inputs!$G$13,IF(B243=500000,180,IF(B243=750000,365,1095)))</x:f>
        <x:v>1095</x:v>
      </x:c>
      <x:c r="Q243" s="20" t="n">
        <x:f>D243</x:f>
        <x:v>0.21</x:v>
      </x:c>
      <x:c r="R243" s="30" t="n">
        <x:f>B243+C243+E243+F243+L243</x:f>
        <x:v>1536200</x:v>
      </x:c>
      <x:c r="S243" s="30" t="n">
        <x:f>(B243+E243)*J243</x:f>
        <x:v>946.6666666666666</x:v>
      </x:c>
      <x:c r="T243" s="30" t="n">
        <x:f>C243+E243+F243+L243</x:f>
        <x:v>536200</x:v>
      </x:c>
      <x:c r="U243" s="30" t="n">
        <x:f>E243</x:f>
        <x:v>420000</x:v>
      </x:c>
      <x:c r="V243" s="30" t="n">
        <x:f>C243</x:f>
        <x:v>1000</x:v>
      </x:c>
      <x:c r="W243" s="30" t="n">
        <x:f>F243</x:f>
        <x:v>30000</x:v>
      </x:c>
      <x:c r="X243" s="30" t="n">
        <x:f>L243</x:f>
        <x:v>85200</x:v>
      </x:c>
      <x:c r="Y243" s="30" t="n">
        <x:f>SUM(U243:X243)</x:f>
        <x:v>536200</x:v>
      </x:c>
    </x:row>
    <x:row r="244">
      <x:c r="A244" t="str">
        <x:v>Short Term Contract</x:v>
      </x:c>
      <x:c r="B244" s="30" t="n">
        <x:v>1000000</x:v>
      </x:c>
      <x:c r="C244" s="30" t="n">
        <x:f>Inputs!$G$5</x:f>
        <x:v>1000</x:v>
      </x:c>
      <x:c r="D244" s="20" t="n">
        <x:f>Inputs!$G$4+VLOOKUP(M244,Inputs!$A$4:$B$7,2,FALSE)</x:f>
        <x:v>0.21</x:v>
      </x:c>
      <x:c r="E244" s="30" t="n">
        <x:f>B244*D244*N244/Inputs!$G$8</x:f>
        <x:v>420000</x:v>
      </x:c>
      <x:c r="F244" s="30" t="n">
        <x:f>B244*Inputs!$G$6</x:f>
        <x:v>30000</x:v>
      </x:c>
      <x:c r="G244" t="str">
        <x:v>120 Days</x:v>
      </x:c>
      <x:c r="H244" s="28" t="n">
        <x:v>120</x:v>
      </x:c>
      <x:c r="I244" s="52" t="n">
        <x:f>Inputs!$G$7</x:f>
        <x:v>0.02</x:v>
      </x:c>
      <x:c r="J244" s="52" t="n">
        <x:f>I244/30</x:f>
        <x:v>0.0006666666666666666</x:v>
      </x:c>
      <x:c r="K244" s="52" t="n">
        <x:f>J244*H244</x:f>
        <x:v>0.08</x:v>
      </x:c>
      <x:c r="L244" s="30" t="n">
        <x:f>(B244+E244)*K244</x:f>
        <x:v>113600</x:v>
      </x:c>
      <x:c r="M244" s="30" t="n">
        <x:f>E244</x:f>
        <x:v>420000</x:v>
      </x:c>
      <x:c r="N244" s="30">
        <x:f>R244-C244-F244</x:f>
      </x:c>
      <x:c r="O244" s="20" t="str">
        <x:f>IF(ABS(D244-(Inputs!$G$4+Inputs!$B$4))&lt;0.000001,"Low Risk",IF(ABS(D244-(Inputs!$G$4+Inputs!$B$5))&lt;0.000001,"Moderate Risk",IF(ABS(D244-(Inputs!$G$4+Inputs!$B$6))&lt;0.000001,"High Risk","Worst Scenario")))</x:f>
        <x:v>Worst Scenario</x:v>
      </x:c>
      <x:c r="P244" s="28" t="n">
        <x:f>IF(A244="Purchase Order Funding",Inputs!$G$13,IF(B244=500000,180,IF(B244=750000,365,1095)))</x:f>
        <x:v>1095</x:v>
      </x:c>
      <x:c r="Q244" s="20" t="n">
        <x:f>D244</x:f>
        <x:v>0.21</x:v>
      </x:c>
      <x:c r="R244" s="30" t="n">
        <x:f>B244+C244+E244+F244+L244</x:f>
        <x:v>1564600</x:v>
      </x:c>
      <x:c r="S244" s="30" t="n">
        <x:f>(B244+E244)*J244</x:f>
        <x:v>946.6666666666666</x:v>
      </x:c>
      <x:c r="T244" s="30" t="n">
        <x:f>C244+E244+F244+L244</x:f>
        <x:v>564600</x:v>
      </x:c>
      <x:c r="U244" s="30" t="n">
        <x:f>E244</x:f>
        <x:v>420000</x:v>
      </x:c>
      <x:c r="V244" s="30" t="n">
        <x:f>C244</x:f>
        <x:v>1000</x:v>
      </x:c>
      <x:c r="W244" s="30" t="n">
        <x:f>F244</x:f>
        <x:v>30000</x:v>
      </x:c>
      <x:c r="X244" s="30" t="n">
        <x:f>L244</x:f>
        <x:v>113600</x:v>
      </x:c>
      <x:c r="Y244" s="30" t="n">
        <x:f>SUM(U244:X244)</x:f>
        <x:v>564600</x:v>
      </x:c>
    </x:row>
    <x:row r="245">
      <x:c r="A245" t="str">
        <x:v>Short Term Contract</x:v>
      </x:c>
      <x:c r="B245" s="30" t="n">
        <x:v>1000000</x:v>
      </x:c>
      <x:c r="C245" s="30" t="n">
        <x:f>Inputs!$G$5</x:f>
        <x:v>1000</x:v>
      </x:c>
      <x:c r="D245" s="20" t="n">
        <x:f>Inputs!$G$4+VLOOKUP(M245,Inputs!$A$4:$B$7,2,FALSE)</x:f>
        <x:v>0.155</x:v>
      </x:c>
      <x:c r="E245" s="30" t="n">
        <x:f>B245*D245*N245/Inputs!$G$8</x:f>
        <x:v>465000</x:v>
      </x:c>
      <x:c r="F245" s="30" t="n">
        <x:f>B245*Inputs!$G$6</x:f>
        <x:v>30000</x:v>
      </x:c>
      <x:c r="G245" t="str">
        <x:v>30 Days</x:v>
      </x:c>
      <x:c r="H245" s="28" t="n">
        <x:v>30</x:v>
      </x:c>
      <x:c r="I245" s="52" t="n">
        <x:f>Inputs!$G$7</x:f>
        <x:v>0.02</x:v>
      </x:c>
      <x:c r="J245" s="52" t="n">
        <x:f>I245/30</x:f>
        <x:v>0.0006666666666666666</x:v>
      </x:c>
      <x:c r="K245" s="52" t="n">
        <x:f>J245*H245</x:f>
        <x:v>0.02</x:v>
      </x:c>
      <x:c r="L245" s="30" t="n">
        <x:f>(B245+E245)*K245</x:f>
        <x:v>29300</x:v>
      </x:c>
      <x:c r="M245" s="30" t="n">
        <x:f>E245</x:f>
        <x:v>465000</x:v>
      </x:c>
      <x:c r="N245" s="30">
        <x:f>R245-C245-F245</x:f>
      </x:c>
      <x:c r="O245" s="20" t="str">
        <x:f>IF(ABS(D245-(Inputs!$G$4+Inputs!$B$4))&lt;0.000001,"Low Risk",IF(ABS(D245-(Inputs!$G$4+Inputs!$B$5))&lt;0.000001,"Moderate Risk",IF(ABS(D245-(Inputs!$G$4+Inputs!$B$6))&lt;0.000001,"High Risk","Worst Scenario")))</x:f>
        <x:v>Low Risk</x:v>
      </x:c>
      <x:c r="P245" s="28" t="n">
        <x:f>IF(A245="Purchase Order Funding",Inputs!$G$13,IF(B245=500000,180,IF(B245=750000,365,1095)))</x:f>
        <x:v>1095</x:v>
      </x:c>
      <x:c r="Q245" s="20" t="n">
        <x:f>D245</x:f>
        <x:v>0.155</x:v>
      </x:c>
      <x:c r="R245" s="30" t="n">
        <x:f>B245+C245+E245+F245+L245</x:f>
        <x:v>1525300</x:v>
      </x:c>
      <x:c r="S245" s="30" t="n">
        <x:f>(B245+E245)*J245</x:f>
        <x:v>976.6666666666666</x:v>
      </x:c>
      <x:c r="T245" s="30" t="n">
        <x:f>C245+E245+F245+L245</x:f>
        <x:v>525300</x:v>
      </x:c>
      <x:c r="U245" s="30" t="n">
        <x:f>E245</x:f>
        <x:v>465000</x:v>
      </x:c>
      <x:c r="V245" s="30" t="n">
        <x:f>C245</x:f>
        <x:v>1000</x:v>
      </x:c>
      <x:c r="W245" s="30" t="n">
        <x:f>F245</x:f>
        <x:v>30000</x:v>
      </x:c>
      <x:c r="X245" s="30" t="n">
        <x:f>L245</x:f>
        <x:v>29300</x:v>
      </x:c>
      <x:c r="Y245" s="30" t="n">
        <x:f>SUM(U245:X245)</x:f>
        <x:v>525300</x:v>
      </x:c>
    </x:row>
    <x:row r="246">
      <x:c r="A246" t="str">
        <x:v>Short Term Contract</x:v>
      </x:c>
      <x:c r="B246" s="30" t="n">
        <x:v>1000000</x:v>
      </x:c>
      <x:c r="C246" s="30" t="n">
        <x:f>Inputs!$G$5</x:f>
        <x:v>1000</x:v>
      </x:c>
      <x:c r="D246" s="20" t="n">
        <x:f>Inputs!$G$4+VLOOKUP(M246,Inputs!$A$4:$B$7,2,FALSE)</x:f>
        <x:v>0.155</x:v>
      </x:c>
      <x:c r="E246" s="30" t="n">
        <x:f>B246*D246*N246/Inputs!$G$8</x:f>
        <x:v>465000</x:v>
      </x:c>
      <x:c r="F246" s="30" t="n">
        <x:f>B246*Inputs!$G$6</x:f>
        <x:v>30000</x:v>
      </x:c>
      <x:c r="G246" t="str">
        <x:v>60 Days</x:v>
      </x:c>
      <x:c r="H246" s="28" t="n">
        <x:v>60</x:v>
      </x:c>
      <x:c r="I246" s="52" t="n">
        <x:f>Inputs!$G$7</x:f>
        <x:v>0.02</x:v>
      </x:c>
      <x:c r="J246" s="52" t="n">
        <x:f>I246/30</x:f>
        <x:v>0.0006666666666666666</x:v>
      </x:c>
      <x:c r="K246" s="52" t="n">
        <x:f>J246*H246</x:f>
        <x:v>0.04</x:v>
      </x:c>
      <x:c r="L246" s="30" t="n">
        <x:f>(B246+E246)*K246</x:f>
        <x:v>58600</x:v>
      </x:c>
      <x:c r="M246" s="30" t="n">
        <x:f>E246</x:f>
        <x:v>465000</x:v>
      </x:c>
      <x:c r="N246" s="30">
        <x:f>R246-C246-F246</x:f>
      </x:c>
      <x:c r="O246" s="20" t="str">
        <x:f>IF(ABS(D246-(Inputs!$G$4+Inputs!$B$4))&lt;0.000001,"Low Risk",IF(ABS(D246-(Inputs!$G$4+Inputs!$B$5))&lt;0.000001,"Moderate Risk",IF(ABS(D246-(Inputs!$G$4+Inputs!$B$6))&lt;0.000001,"High Risk","Worst Scenario")))</x:f>
        <x:v>Low Risk</x:v>
      </x:c>
      <x:c r="P246" s="28" t="n">
        <x:f>IF(A246="Purchase Order Funding",Inputs!$G$13,IF(B246=500000,180,IF(B246=750000,365,1095)))</x:f>
        <x:v>1095</x:v>
      </x:c>
      <x:c r="Q246" s="20" t="n">
        <x:f>D246</x:f>
        <x:v>0.155</x:v>
      </x:c>
      <x:c r="R246" s="30" t="n">
        <x:f>B246+C246+E246+F246+L246</x:f>
        <x:v>1554600</x:v>
      </x:c>
      <x:c r="S246" s="30" t="n">
        <x:f>(B246+E246)*J246</x:f>
        <x:v>976.6666666666666</x:v>
      </x:c>
      <x:c r="T246" s="30" t="n">
        <x:f>C246+E246+F246+L246</x:f>
        <x:v>554600</x:v>
      </x:c>
      <x:c r="U246" s="30" t="n">
        <x:f>E246</x:f>
        <x:v>465000</x:v>
      </x:c>
      <x:c r="V246" s="30" t="n">
        <x:f>C246</x:f>
        <x:v>1000</x:v>
      </x:c>
      <x:c r="W246" s="30" t="n">
        <x:f>F246</x:f>
        <x:v>30000</x:v>
      </x:c>
      <x:c r="X246" s="30" t="n">
        <x:f>L246</x:f>
        <x:v>58600</x:v>
      </x:c>
      <x:c r="Y246" s="30" t="n">
        <x:f>SUM(U246:X246)</x:f>
        <x:v>554600</x:v>
      </x:c>
    </x:row>
    <x:row r="247">
      <x:c r="A247" t="str">
        <x:v>Short Term Contract</x:v>
      </x:c>
      <x:c r="B247" s="30" t="n">
        <x:v>1000000</x:v>
      </x:c>
      <x:c r="C247" s="30" t="n">
        <x:f>Inputs!$G$5</x:f>
        <x:v>1000</x:v>
      </x:c>
      <x:c r="D247" s="20" t="n">
        <x:f>Inputs!$G$4+VLOOKUP(M247,Inputs!$A$4:$B$7,2,FALSE)</x:f>
        <x:v>0.155</x:v>
      </x:c>
      <x:c r="E247" s="30" t="n">
        <x:f>B247*D247*N247/Inputs!$G$8</x:f>
        <x:v>465000</x:v>
      </x:c>
      <x:c r="F247" s="30" t="n">
        <x:f>B247*Inputs!$G$6</x:f>
        <x:v>30000</x:v>
      </x:c>
      <x:c r="G247" t="str">
        <x:v>90 Days</x:v>
      </x:c>
      <x:c r="H247" s="28" t="n">
        <x:v>90</x:v>
      </x:c>
      <x:c r="I247" s="52" t="n">
        <x:f>Inputs!$G$7</x:f>
        <x:v>0.02</x:v>
      </x:c>
      <x:c r="J247" s="52" t="n">
        <x:f>I247/30</x:f>
        <x:v>0.0006666666666666666</x:v>
      </x:c>
      <x:c r="K247" s="52" t="n">
        <x:f>J247*H247</x:f>
        <x:v>0.06</x:v>
      </x:c>
      <x:c r="L247" s="30" t="n">
        <x:f>(B247+E247)*K247</x:f>
        <x:v>87900</x:v>
      </x:c>
      <x:c r="M247" s="30" t="n">
        <x:f>E247</x:f>
        <x:v>465000</x:v>
      </x:c>
      <x:c r="N247" s="30">
        <x:f>R247-C247-F247</x:f>
      </x:c>
      <x:c r="O247" s="20" t="str">
        <x:f>IF(ABS(D247-(Inputs!$G$4+Inputs!$B$4))&lt;0.000001,"Low Risk",IF(ABS(D247-(Inputs!$G$4+Inputs!$B$5))&lt;0.000001,"Moderate Risk",IF(ABS(D247-(Inputs!$G$4+Inputs!$B$6))&lt;0.000001,"High Risk","Worst Scenario")))</x:f>
        <x:v>Low Risk</x:v>
      </x:c>
      <x:c r="P247" s="28" t="n">
        <x:f>IF(A247="Purchase Order Funding",Inputs!$G$13,IF(B247=500000,180,IF(B247=750000,365,1095)))</x:f>
        <x:v>1095</x:v>
      </x:c>
      <x:c r="Q247" s="20" t="n">
        <x:f>D247</x:f>
        <x:v>0.155</x:v>
      </x:c>
      <x:c r="R247" s="30" t="n">
        <x:f>B247+C247+E247+F247+L247</x:f>
        <x:v>1583900</x:v>
      </x:c>
      <x:c r="S247" s="30" t="n">
        <x:f>(B247+E247)*J247</x:f>
        <x:v>976.6666666666666</x:v>
      </x:c>
      <x:c r="T247" s="30" t="n">
        <x:f>C247+E247+F247+L247</x:f>
        <x:v>583900</x:v>
      </x:c>
      <x:c r="U247" s="30" t="n">
        <x:f>E247</x:f>
        <x:v>465000</x:v>
      </x:c>
      <x:c r="V247" s="30" t="n">
        <x:f>C247</x:f>
        <x:v>1000</x:v>
      </x:c>
      <x:c r="W247" s="30" t="n">
        <x:f>F247</x:f>
        <x:v>30000</x:v>
      </x:c>
      <x:c r="X247" s="30" t="n">
        <x:f>L247</x:f>
        <x:v>87900</x:v>
      </x:c>
      <x:c r="Y247" s="30" t="n">
        <x:f>SUM(U247:X247)</x:f>
        <x:v>583900</x:v>
      </x:c>
    </x:row>
    <x:row r="248">
      <x:c r="A248" t="str">
        <x:v>Short Term Contract</x:v>
      </x:c>
      <x:c r="B248" s="30" t="n">
        <x:v>1000000</x:v>
      </x:c>
      <x:c r="C248" s="30" t="n">
        <x:f>Inputs!$G$5</x:f>
        <x:v>1000</x:v>
      </x:c>
      <x:c r="D248" s="20" t="n">
        <x:f>Inputs!$G$4+VLOOKUP(M248,Inputs!$A$4:$B$7,2,FALSE)</x:f>
        <x:v>0.155</x:v>
      </x:c>
      <x:c r="E248" s="30" t="n">
        <x:f>B248*D248*N248/Inputs!$G$8</x:f>
        <x:v>465000</x:v>
      </x:c>
      <x:c r="F248" s="30" t="n">
        <x:f>B248*Inputs!$G$6</x:f>
        <x:v>30000</x:v>
      </x:c>
      <x:c r="G248" t="str">
        <x:v>120 Days</x:v>
      </x:c>
      <x:c r="H248" s="28" t="n">
        <x:v>120</x:v>
      </x:c>
      <x:c r="I248" s="52" t="n">
        <x:f>Inputs!$G$7</x:f>
        <x:v>0.02</x:v>
      </x:c>
      <x:c r="J248" s="52" t="n">
        <x:f>I248/30</x:f>
        <x:v>0.0006666666666666666</x:v>
      </x:c>
      <x:c r="K248" s="52" t="n">
        <x:f>J248*H248</x:f>
        <x:v>0.08</x:v>
      </x:c>
      <x:c r="L248" s="30" t="n">
        <x:f>(B248+E248)*K248</x:f>
        <x:v>117200</x:v>
      </x:c>
      <x:c r="M248" s="30" t="n">
        <x:f>E248</x:f>
        <x:v>465000</x:v>
      </x:c>
      <x:c r="N248" s="30">
        <x:f>R248-C248-F248</x:f>
      </x:c>
      <x:c r="O248" s="20" t="str">
        <x:f>IF(ABS(D248-(Inputs!$G$4+Inputs!$B$4))&lt;0.000001,"Low Risk",IF(ABS(D248-(Inputs!$G$4+Inputs!$B$5))&lt;0.000001,"Moderate Risk",IF(ABS(D248-(Inputs!$G$4+Inputs!$B$6))&lt;0.000001,"High Risk","Worst Scenario")))</x:f>
        <x:v>Low Risk</x:v>
      </x:c>
      <x:c r="P248" s="28" t="n">
        <x:f>IF(A248="Purchase Order Funding",Inputs!$G$13,IF(B248=500000,180,IF(B248=750000,365,1095)))</x:f>
        <x:v>1095</x:v>
      </x:c>
      <x:c r="Q248" s="20" t="n">
        <x:f>D248</x:f>
        <x:v>0.155</x:v>
      </x:c>
      <x:c r="R248" s="30" t="n">
        <x:f>B248+C248+E248+F248+L248</x:f>
        <x:v>1613200</x:v>
      </x:c>
      <x:c r="S248" s="30" t="n">
        <x:f>(B248+E248)*J248</x:f>
        <x:v>976.6666666666666</x:v>
      </x:c>
      <x:c r="T248" s="30" t="n">
        <x:f>C248+E248+F248+L248</x:f>
        <x:v>613200</x:v>
      </x:c>
      <x:c r="U248" s="30" t="n">
        <x:f>E248</x:f>
        <x:v>465000</x:v>
      </x:c>
      <x:c r="V248" s="30" t="n">
        <x:f>C248</x:f>
        <x:v>1000</x:v>
      </x:c>
      <x:c r="W248" s="30" t="n">
        <x:f>F248</x:f>
        <x:v>30000</x:v>
      </x:c>
      <x:c r="X248" s="30" t="n">
        <x:f>L248</x:f>
        <x:v>117200</x:v>
      </x:c>
      <x:c r="Y248" s="30" t="n">
        <x:f>SUM(U248:X248)</x:f>
        <x:v>613200</x:v>
      </x:c>
    </x:row>
    <x:row r="249">
      <x:c r="A249" t="str">
        <x:v>Short Term Contract</x:v>
      </x:c>
      <x:c r="B249" s="30" t="n">
        <x:v>1000000</x:v>
      </x:c>
      <x:c r="C249" s="30" t="n">
        <x:f>Inputs!$G$5</x:f>
        <x:v>1000</x:v>
      </x:c>
      <x:c r="D249" s="20" t="n">
        <x:f>Inputs!$G$4+VLOOKUP(M249,Inputs!$A$4:$B$7,2,FALSE)</x:f>
        <x:v>0.16999999999999998</x:v>
      </x:c>
      <x:c r="E249" s="30" t="n">
        <x:f>B249*D249*N249/Inputs!$G$8</x:f>
        <x:v>509999.99999999994</x:v>
      </x:c>
      <x:c r="F249" s="30" t="n">
        <x:f>B249*Inputs!$G$6</x:f>
        <x:v>30000</x:v>
      </x:c>
      <x:c r="G249" t="str">
        <x:v>30 Days</x:v>
      </x:c>
      <x:c r="H249" s="28" t="n">
        <x:v>30</x:v>
      </x:c>
      <x:c r="I249" s="52" t="n">
        <x:f>Inputs!$G$7</x:f>
        <x:v>0.02</x:v>
      </x:c>
      <x:c r="J249" s="52" t="n">
        <x:f>I249/30</x:f>
        <x:v>0.0006666666666666666</x:v>
      </x:c>
      <x:c r="K249" s="52" t="n">
        <x:f>J249*H249</x:f>
        <x:v>0.02</x:v>
      </x:c>
      <x:c r="L249" s="30" t="n">
        <x:f>(B249+E249)*K249</x:f>
        <x:v>30200</x:v>
      </x:c>
      <x:c r="M249" s="30" t="n">
        <x:f>E249</x:f>
        <x:v>509999.99999999994</x:v>
      </x:c>
      <x:c r="N249" s="30">
        <x:f>R249-C249-F249</x:f>
      </x:c>
      <x:c r="O249" s="20" t="str">
        <x:f>IF(ABS(D249-(Inputs!$G$4+Inputs!$B$4))&lt;0.000001,"Low Risk",IF(ABS(D249-(Inputs!$G$4+Inputs!$B$5))&lt;0.000001,"Moderate Risk",IF(ABS(D249-(Inputs!$G$4+Inputs!$B$6))&lt;0.000001,"High Risk","Worst Scenario")))</x:f>
        <x:v>Moderate Risk</x:v>
      </x:c>
      <x:c r="P249" s="28" t="n">
        <x:f>IF(A249="Purchase Order Funding",Inputs!$G$13,IF(B249=500000,180,IF(B249=750000,365,1095)))</x:f>
        <x:v>1095</x:v>
      </x:c>
      <x:c r="Q249" s="20" t="n">
        <x:f>D249</x:f>
        <x:v>0.16999999999999998</x:v>
      </x:c>
      <x:c r="R249" s="30" t="n">
        <x:f>B249+C249+E249+F249+L249</x:f>
        <x:v>1571200</x:v>
      </x:c>
      <x:c r="S249" s="30" t="n">
        <x:f>(B249+E249)*J249</x:f>
        <x:v>1006.6666666666666</x:v>
      </x:c>
      <x:c r="T249" s="30" t="n">
        <x:f>C249+E249+F249+L249</x:f>
        <x:v>571200</x:v>
      </x:c>
      <x:c r="U249" s="30" t="n">
        <x:f>E249</x:f>
        <x:v>509999.99999999994</x:v>
      </x:c>
      <x:c r="V249" s="30" t="n">
        <x:f>C249</x:f>
        <x:v>1000</x:v>
      </x:c>
      <x:c r="W249" s="30" t="n">
        <x:f>F249</x:f>
        <x:v>30000</x:v>
      </x:c>
      <x:c r="X249" s="30" t="n">
        <x:f>L249</x:f>
        <x:v>30200</x:v>
      </x:c>
      <x:c r="Y249" s="30" t="n">
        <x:f>SUM(U249:X249)</x:f>
        <x:v>571200</x:v>
      </x:c>
    </x:row>
    <x:row r="250">
      <x:c r="A250" t="str">
        <x:v>Short Term Contract</x:v>
      </x:c>
      <x:c r="B250" s="30" t="n">
        <x:v>1000000</x:v>
      </x:c>
      <x:c r="C250" s="30" t="n">
        <x:f>Inputs!$G$5</x:f>
        <x:v>1000</x:v>
      </x:c>
      <x:c r="D250" s="20" t="n">
        <x:f>Inputs!$G$4+VLOOKUP(M250,Inputs!$A$4:$B$7,2,FALSE)</x:f>
        <x:v>0.16999999999999998</x:v>
      </x:c>
      <x:c r="E250" s="30" t="n">
        <x:f>B250*D250*N250/Inputs!$G$8</x:f>
        <x:v>509999.99999999994</x:v>
      </x:c>
      <x:c r="F250" s="30" t="n">
        <x:f>B250*Inputs!$G$6</x:f>
        <x:v>30000</x:v>
      </x:c>
      <x:c r="G250" t="str">
        <x:v>60 Days</x:v>
      </x:c>
      <x:c r="H250" s="28" t="n">
        <x:v>60</x:v>
      </x:c>
      <x:c r="I250" s="52" t="n">
        <x:f>Inputs!$G$7</x:f>
        <x:v>0.02</x:v>
      </x:c>
      <x:c r="J250" s="52" t="n">
        <x:f>I250/30</x:f>
        <x:v>0.0006666666666666666</x:v>
      </x:c>
      <x:c r="K250" s="52" t="n">
        <x:f>J250*H250</x:f>
        <x:v>0.04</x:v>
      </x:c>
      <x:c r="L250" s="30" t="n">
        <x:f>(B250+E250)*K250</x:f>
        <x:v>60400</x:v>
      </x:c>
      <x:c r="M250" s="30" t="n">
        <x:f>E250</x:f>
        <x:v>509999.99999999994</x:v>
      </x:c>
      <x:c r="N250" s="30">
        <x:f>R250-C250-F250</x:f>
      </x:c>
      <x:c r="O250" s="20" t="str">
        <x:f>IF(ABS(D250-(Inputs!$G$4+Inputs!$B$4))&lt;0.000001,"Low Risk",IF(ABS(D250-(Inputs!$G$4+Inputs!$B$5))&lt;0.000001,"Moderate Risk",IF(ABS(D250-(Inputs!$G$4+Inputs!$B$6))&lt;0.000001,"High Risk","Worst Scenario")))</x:f>
        <x:v>Moderate Risk</x:v>
      </x:c>
      <x:c r="P250" s="28" t="n">
        <x:f>IF(A250="Purchase Order Funding",Inputs!$G$13,IF(B250=500000,180,IF(B250=750000,365,1095)))</x:f>
        <x:v>1095</x:v>
      </x:c>
      <x:c r="Q250" s="20" t="n">
        <x:f>D250</x:f>
        <x:v>0.16999999999999998</x:v>
      </x:c>
      <x:c r="R250" s="30" t="n">
        <x:f>B250+C250+E250+F250+L250</x:f>
        <x:v>1601400</x:v>
      </x:c>
      <x:c r="S250" s="30" t="n">
        <x:f>(B250+E250)*J250</x:f>
        <x:v>1006.6666666666666</x:v>
      </x:c>
      <x:c r="T250" s="30" t="n">
        <x:f>C250+E250+F250+L250</x:f>
        <x:v>601400</x:v>
      </x:c>
      <x:c r="U250" s="30" t="n">
        <x:f>E250</x:f>
        <x:v>509999.99999999994</x:v>
      </x:c>
      <x:c r="V250" s="30" t="n">
        <x:f>C250</x:f>
        <x:v>1000</x:v>
      </x:c>
      <x:c r="W250" s="30" t="n">
        <x:f>F250</x:f>
        <x:v>30000</x:v>
      </x:c>
      <x:c r="X250" s="30" t="n">
        <x:f>L250</x:f>
        <x:v>60400</x:v>
      </x:c>
      <x:c r="Y250" s="30" t="n">
        <x:f>SUM(U250:X250)</x:f>
        <x:v>601400</x:v>
      </x:c>
    </x:row>
    <x:row r="251">
      <x:c r="A251" t="str">
        <x:v>Short Term Contract</x:v>
      </x:c>
      <x:c r="B251" s="30" t="n">
        <x:v>1000000</x:v>
      </x:c>
      <x:c r="C251" s="30" t="n">
        <x:f>Inputs!$G$5</x:f>
        <x:v>1000</x:v>
      </x:c>
      <x:c r="D251" s="20" t="n">
        <x:f>Inputs!$G$4+VLOOKUP(M251,Inputs!$A$4:$B$7,2,FALSE)</x:f>
        <x:v>0.16999999999999998</x:v>
      </x:c>
      <x:c r="E251" s="30" t="n">
        <x:f>B251*D251*N251/Inputs!$G$8</x:f>
        <x:v>509999.99999999994</x:v>
      </x:c>
      <x:c r="F251" s="30" t="n">
        <x:f>B251*Inputs!$G$6</x:f>
        <x:v>30000</x:v>
      </x:c>
      <x:c r="G251" t="str">
        <x:v>90 Days</x:v>
      </x:c>
      <x:c r="H251" s="28" t="n">
        <x:v>90</x:v>
      </x:c>
      <x:c r="I251" s="52" t="n">
        <x:f>Inputs!$G$7</x:f>
        <x:v>0.02</x:v>
      </x:c>
      <x:c r="J251" s="52" t="n">
        <x:f>I251/30</x:f>
        <x:v>0.0006666666666666666</x:v>
      </x:c>
      <x:c r="K251" s="52" t="n">
        <x:f>J251*H251</x:f>
        <x:v>0.06</x:v>
      </x:c>
      <x:c r="L251" s="30" t="n">
        <x:f>(B251+E251)*K251</x:f>
        <x:v>90600</x:v>
      </x:c>
      <x:c r="M251" s="30" t="n">
        <x:f>E251</x:f>
        <x:v>509999.99999999994</x:v>
      </x:c>
      <x:c r="N251" s="30">
        <x:f>R251-C251-F251</x:f>
      </x:c>
      <x:c r="O251" s="20" t="str">
        <x:f>IF(ABS(D251-(Inputs!$G$4+Inputs!$B$4))&lt;0.000001,"Low Risk",IF(ABS(D251-(Inputs!$G$4+Inputs!$B$5))&lt;0.000001,"Moderate Risk",IF(ABS(D251-(Inputs!$G$4+Inputs!$B$6))&lt;0.000001,"High Risk","Worst Scenario")))</x:f>
        <x:v>Moderate Risk</x:v>
      </x:c>
      <x:c r="P251" s="28" t="n">
        <x:f>IF(A251="Purchase Order Funding",Inputs!$G$13,IF(B251=500000,180,IF(B251=750000,365,1095)))</x:f>
        <x:v>1095</x:v>
      </x:c>
      <x:c r="Q251" s="20" t="n">
        <x:f>D251</x:f>
        <x:v>0.16999999999999998</x:v>
      </x:c>
      <x:c r="R251" s="30" t="n">
        <x:f>B251+C251+E251+F251+L251</x:f>
        <x:v>1631600</x:v>
      </x:c>
      <x:c r="S251" s="30" t="n">
        <x:f>(B251+E251)*J251</x:f>
        <x:v>1006.6666666666666</x:v>
      </x:c>
      <x:c r="T251" s="30" t="n">
        <x:f>C251+E251+F251+L251</x:f>
        <x:v>631600</x:v>
      </x:c>
      <x:c r="U251" s="30" t="n">
        <x:f>E251</x:f>
        <x:v>509999.99999999994</x:v>
      </x:c>
      <x:c r="V251" s="30" t="n">
        <x:f>C251</x:f>
        <x:v>1000</x:v>
      </x:c>
      <x:c r="W251" s="30" t="n">
        <x:f>F251</x:f>
        <x:v>30000</x:v>
      </x:c>
      <x:c r="X251" s="30" t="n">
        <x:f>L251</x:f>
        <x:v>90600</x:v>
      </x:c>
      <x:c r="Y251" s="30" t="n">
        <x:f>SUM(U251:X251)</x:f>
        <x:v>631600</x:v>
      </x:c>
    </x:row>
    <x:row r="252">
      <x:c r="A252" t="str">
        <x:v>Short Term Contract</x:v>
      </x:c>
      <x:c r="B252" s="30" t="n">
        <x:v>1000000</x:v>
      </x:c>
      <x:c r="C252" s="30" t="n">
        <x:f>Inputs!$G$5</x:f>
        <x:v>1000</x:v>
      </x:c>
      <x:c r="D252" s="20" t="n">
        <x:f>Inputs!$G$4+VLOOKUP(M252,Inputs!$A$4:$B$7,2,FALSE)</x:f>
        <x:v>0.16999999999999998</x:v>
      </x:c>
      <x:c r="E252" s="30" t="n">
        <x:f>B252*D252*N252/Inputs!$G$8</x:f>
        <x:v>509999.99999999994</x:v>
      </x:c>
      <x:c r="F252" s="30" t="n">
        <x:f>B252*Inputs!$G$6</x:f>
        <x:v>30000</x:v>
      </x:c>
      <x:c r="G252" t="str">
        <x:v>120 Days</x:v>
      </x:c>
      <x:c r="H252" s="28" t="n">
        <x:v>120</x:v>
      </x:c>
      <x:c r="I252" s="52" t="n">
        <x:f>Inputs!$G$7</x:f>
        <x:v>0.02</x:v>
      </x:c>
      <x:c r="J252" s="52" t="n">
        <x:f>I252/30</x:f>
        <x:v>0.0006666666666666666</x:v>
      </x:c>
      <x:c r="K252" s="52" t="n">
        <x:f>J252*H252</x:f>
        <x:v>0.08</x:v>
      </x:c>
      <x:c r="L252" s="30" t="n">
        <x:f>(B252+E252)*K252</x:f>
        <x:v>120800</x:v>
      </x:c>
      <x:c r="M252" s="30" t="n">
        <x:f>E252</x:f>
        <x:v>509999.99999999994</x:v>
      </x:c>
      <x:c r="N252" s="30">
        <x:f>R252-C252-F252</x:f>
      </x:c>
      <x:c r="O252" s="20" t="str">
        <x:f>IF(ABS(D252-(Inputs!$G$4+Inputs!$B$4))&lt;0.000001,"Low Risk",IF(ABS(D252-(Inputs!$G$4+Inputs!$B$5))&lt;0.000001,"Moderate Risk",IF(ABS(D252-(Inputs!$G$4+Inputs!$B$6))&lt;0.000001,"High Risk","Worst Scenario")))</x:f>
        <x:v>Moderate Risk</x:v>
      </x:c>
      <x:c r="P252" s="28" t="n">
        <x:f>IF(A252="Purchase Order Funding",Inputs!$G$13,IF(B252=500000,180,IF(B252=750000,365,1095)))</x:f>
        <x:v>1095</x:v>
      </x:c>
      <x:c r="Q252" s="20" t="n">
        <x:f>D252</x:f>
        <x:v>0.16999999999999998</x:v>
      </x:c>
      <x:c r="R252" s="30" t="n">
        <x:f>B252+C252+E252+F252+L252</x:f>
        <x:v>1661800</x:v>
      </x:c>
      <x:c r="S252" s="30" t="n">
        <x:f>(B252+E252)*J252</x:f>
        <x:v>1006.6666666666666</x:v>
      </x:c>
      <x:c r="T252" s="30" t="n">
        <x:f>C252+E252+F252+L252</x:f>
        <x:v>661800</x:v>
      </x:c>
      <x:c r="U252" s="30" t="n">
        <x:f>E252</x:f>
        <x:v>509999.99999999994</x:v>
      </x:c>
      <x:c r="V252" s="30" t="n">
        <x:f>C252</x:f>
        <x:v>1000</x:v>
      </x:c>
      <x:c r="W252" s="30" t="n">
        <x:f>F252</x:f>
        <x:v>30000</x:v>
      </x:c>
      <x:c r="X252" s="30" t="n">
        <x:f>L252</x:f>
        <x:v>120800</x:v>
      </x:c>
      <x:c r="Y252" s="30" t="n">
        <x:f>SUM(U252:X252)</x:f>
        <x:v>661800</x:v>
      </x:c>
    </x:row>
    <x:row r="253">
      <x:c r="A253" t="str">
        <x:v>Short Term Contract</x:v>
      </x:c>
      <x:c r="B253" s="30" t="n">
        <x:v>1000000</x:v>
      </x:c>
      <x:c r="C253" s="30" t="n">
        <x:f>Inputs!$G$5</x:f>
        <x:v>1000</x:v>
      </x:c>
      <x:c r="D253" s="20" t="n">
        <x:f>Inputs!$G$4+VLOOKUP(M253,Inputs!$A$4:$B$7,2,FALSE)</x:f>
        <x:v>0.19</x:v>
      </x:c>
      <x:c r="E253" s="30" t="n">
        <x:f>B253*D253*N253/Inputs!$G$8</x:f>
        <x:v>570000</x:v>
      </x:c>
      <x:c r="F253" s="30" t="n">
        <x:f>B253*Inputs!$G$6</x:f>
        <x:v>30000</x:v>
      </x:c>
      <x:c r="G253" t="str">
        <x:v>30 Days</x:v>
      </x:c>
      <x:c r="H253" s="28" t="n">
        <x:v>30</x:v>
      </x:c>
      <x:c r="I253" s="52" t="n">
        <x:f>Inputs!$G$7</x:f>
        <x:v>0.02</x:v>
      </x:c>
      <x:c r="J253" s="52" t="n">
        <x:f>I253/30</x:f>
        <x:v>0.0006666666666666666</x:v>
      </x:c>
      <x:c r="K253" s="52" t="n">
        <x:f>J253*H253</x:f>
        <x:v>0.02</x:v>
      </x:c>
      <x:c r="L253" s="30" t="n">
        <x:f>(B253+E253)*K253</x:f>
        <x:v>31400</x:v>
      </x:c>
      <x:c r="M253" s="30" t="n">
        <x:f>E253</x:f>
        <x:v>570000</x:v>
      </x:c>
      <x:c r="N253" s="30">
        <x:f>R253-C253-F253</x:f>
      </x:c>
      <x:c r="O253" s="20" t="str">
        <x:f>IF(ABS(D253-(Inputs!$G$4+Inputs!$B$4))&lt;0.000001,"Low Risk",IF(ABS(D253-(Inputs!$G$4+Inputs!$B$5))&lt;0.000001,"Moderate Risk",IF(ABS(D253-(Inputs!$G$4+Inputs!$B$6))&lt;0.000001,"High Risk","Worst Scenario")))</x:f>
        <x:v>High Risk</x:v>
      </x:c>
      <x:c r="P253" s="28" t="n">
        <x:f>IF(A253="Purchase Order Funding",Inputs!$G$13,IF(B253=500000,180,IF(B253=750000,365,1095)))</x:f>
        <x:v>1095</x:v>
      </x:c>
      <x:c r="Q253" s="20" t="n">
        <x:f>D253</x:f>
        <x:v>0.19</x:v>
      </x:c>
      <x:c r="R253" s="30" t="n">
        <x:f>B253+C253+E253+F253+L253</x:f>
        <x:v>1632400</x:v>
      </x:c>
      <x:c r="S253" s="30" t="n">
        <x:f>(B253+E253)*J253</x:f>
        <x:v>1046.6666666666667</x:v>
      </x:c>
      <x:c r="T253" s="30" t="n">
        <x:f>C253+E253+F253+L253</x:f>
        <x:v>632400</x:v>
      </x:c>
      <x:c r="U253" s="30" t="n">
        <x:f>E253</x:f>
        <x:v>570000</x:v>
      </x:c>
      <x:c r="V253" s="30" t="n">
        <x:f>C253</x:f>
        <x:v>1000</x:v>
      </x:c>
      <x:c r="W253" s="30" t="n">
        <x:f>F253</x:f>
        <x:v>30000</x:v>
      </x:c>
      <x:c r="X253" s="30" t="n">
        <x:f>L253</x:f>
        <x:v>31400</x:v>
      </x:c>
      <x:c r="Y253" s="30" t="n">
        <x:f>SUM(U253:X253)</x:f>
        <x:v>632400</x:v>
      </x:c>
    </x:row>
    <x:row r="254">
      <x:c r="A254" t="str">
        <x:v>Short Term Contract</x:v>
      </x:c>
      <x:c r="B254" s="30" t="n">
        <x:v>1000000</x:v>
      </x:c>
      <x:c r="C254" s="30" t="n">
        <x:f>Inputs!$G$5</x:f>
        <x:v>1000</x:v>
      </x:c>
      <x:c r="D254" s="20" t="n">
        <x:f>Inputs!$G$4+VLOOKUP(M254,Inputs!$A$4:$B$7,2,FALSE)</x:f>
        <x:v>0.19</x:v>
      </x:c>
      <x:c r="E254" s="30" t="n">
        <x:f>B254*D254*N254/Inputs!$G$8</x:f>
        <x:v>570000</x:v>
      </x:c>
      <x:c r="F254" s="30" t="n">
        <x:f>B254*Inputs!$G$6</x:f>
        <x:v>30000</x:v>
      </x:c>
      <x:c r="G254" t="str">
        <x:v>60 Days</x:v>
      </x:c>
      <x:c r="H254" s="28" t="n">
        <x:v>60</x:v>
      </x:c>
      <x:c r="I254" s="52" t="n">
        <x:f>Inputs!$G$7</x:f>
        <x:v>0.02</x:v>
      </x:c>
      <x:c r="J254" s="52" t="n">
        <x:f>I254/30</x:f>
        <x:v>0.0006666666666666666</x:v>
      </x:c>
      <x:c r="K254" s="52" t="n">
        <x:f>J254*H254</x:f>
        <x:v>0.04</x:v>
      </x:c>
      <x:c r="L254" s="30" t="n">
        <x:f>(B254+E254)*K254</x:f>
        <x:v>62800</x:v>
      </x:c>
      <x:c r="M254" s="30" t="n">
        <x:f>E254</x:f>
        <x:v>570000</x:v>
      </x:c>
      <x:c r="N254" s="30">
        <x:f>R254-C254-F254</x:f>
      </x:c>
      <x:c r="O254" s="20" t="str">
        <x:f>IF(ABS(D254-(Inputs!$G$4+Inputs!$B$4))&lt;0.000001,"Low Risk",IF(ABS(D254-(Inputs!$G$4+Inputs!$B$5))&lt;0.000001,"Moderate Risk",IF(ABS(D254-(Inputs!$G$4+Inputs!$B$6))&lt;0.000001,"High Risk","Worst Scenario")))</x:f>
        <x:v>High Risk</x:v>
      </x:c>
      <x:c r="P254" s="28" t="n">
        <x:f>IF(A254="Purchase Order Funding",Inputs!$G$13,IF(B254=500000,180,IF(B254=750000,365,1095)))</x:f>
        <x:v>1095</x:v>
      </x:c>
      <x:c r="Q254" s="20" t="n">
        <x:f>D254</x:f>
        <x:v>0.19</x:v>
      </x:c>
      <x:c r="R254" s="30" t="n">
        <x:f>B254+C254+E254+F254+L254</x:f>
        <x:v>1663800</x:v>
      </x:c>
      <x:c r="S254" s="30" t="n">
        <x:f>(B254+E254)*J254</x:f>
        <x:v>1046.6666666666667</x:v>
      </x:c>
      <x:c r="T254" s="30" t="n">
        <x:f>C254+E254+F254+L254</x:f>
        <x:v>663800</x:v>
      </x:c>
      <x:c r="U254" s="30" t="n">
        <x:f>E254</x:f>
        <x:v>570000</x:v>
      </x:c>
      <x:c r="V254" s="30" t="n">
        <x:f>C254</x:f>
        <x:v>1000</x:v>
      </x:c>
      <x:c r="W254" s="30" t="n">
        <x:f>F254</x:f>
        <x:v>30000</x:v>
      </x:c>
      <x:c r="X254" s="30" t="n">
        <x:f>L254</x:f>
        <x:v>62800</x:v>
      </x:c>
      <x:c r="Y254" s="30" t="n">
        <x:f>SUM(U254:X254)</x:f>
        <x:v>663800</x:v>
      </x:c>
    </x:row>
    <x:row r="255">
      <x:c r="A255" t="str">
        <x:v>Short Term Contract</x:v>
      </x:c>
      <x:c r="B255" s="30" t="n">
        <x:v>1000000</x:v>
      </x:c>
      <x:c r="C255" s="30" t="n">
        <x:f>Inputs!$G$5</x:f>
        <x:v>1000</x:v>
      </x:c>
      <x:c r="D255" s="20" t="n">
        <x:f>Inputs!$G$4+VLOOKUP(M255,Inputs!$A$4:$B$7,2,FALSE)</x:f>
        <x:v>0.19</x:v>
      </x:c>
      <x:c r="E255" s="30" t="n">
        <x:f>B255*D255*N255/Inputs!$G$8</x:f>
        <x:v>570000</x:v>
      </x:c>
      <x:c r="F255" s="30" t="n">
        <x:f>B255*Inputs!$G$6</x:f>
        <x:v>30000</x:v>
      </x:c>
      <x:c r="G255" t="str">
        <x:v>90 Days</x:v>
      </x:c>
      <x:c r="H255" s="28" t="n">
        <x:v>90</x:v>
      </x:c>
      <x:c r="I255" s="52" t="n">
        <x:f>Inputs!$G$7</x:f>
        <x:v>0.02</x:v>
      </x:c>
      <x:c r="J255" s="52" t="n">
        <x:f>I255/30</x:f>
        <x:v>0.0006666666666666666</x:v>
      </x:c>
      <x:c r="K255" s="52" t="n">
        <x:f>J255*H255</x:f>
        <x:v>0.06</x:v>
      </x:c>
      <x:c r="L255" s="30" t="n">
        <x:f>(B255+E255)*K255</x:f>
        <x:v>94200</x:v>
      </x:c>
      <x:c r="M255" s="30" t="n">
        <x:f>E255</x:f>
        <x:v>570000</x:v>
      </x:c>
      <x:c r="N255" s="30">
        <x:f>R255-C255-F255</x:f>
      </x:c>
      <x:c r="O255" s="20" t="str">
        <x:f>IF(ABS(D255-(Inputs!$G$4+Inputs!$B$4))&lt;0.000001,"Low Risk",IF(ABS(D255-(Inputs!$G$4+Inputs!$B$5))&lt;0.000001,"Moderate Risk",IF(ABS(D255-(Inputs!$G$4+Inputs!$B$6))&lt;0.000001,"High Risk","Worst Scenario")))</x:f>
        <x:v>High Risk</x:v>
      </x:c>
      <x:c r="P255" s="28" t="n">
        <x:f>IF(A255="Purchase Order Funding",Inputs!$G$13,IF(B255=500000,180,IF(B255=750000,365,1095)))</x:f>
        <x:v>1095</x:v>
      </x:c>
      <x:c r="Q255" s="20" t="n">
        <x:f>D255</x:f>
        <x:v>0.19</x:v>
      </x:c>
      <x:c r="R255" s="30" t="n">
        <x:f>B255+C255+E255+F255+L255</x:f>
        <x:v>1695200</x:v>
      </x:c>
      <x:c r="S255" s="30" t="n">
        <x:f>(B255+E255)*J255</x:f>
        <x:v>1046.6666666666667</x:v>
      </x:c>
      <x:c r="T255" s="30" t="n">
        <x:f>C255+E255+F255+L255</x:f>
        <x:v>695200</x:v>
      </x:c>
      <x:c r="U255" s="30" t="n">
        <x:f>E255</x:f>
        <x:v>570000</x:v>
      </x:c>
      <x:c r="V255" s="30" t="n">
        <x:f>C255</x:f>
        <x:v>1000</x:v>
      </x:c>
      <x:c r="W255" s="30" t="n">
        <x:f>F255</x:f>
        <x:v>30000</x:v>
      </x:c>
      <x:c r="X255" s="30" t="n">
        <x:f>L255</x:f>
        <x:v>94200</x:v>
      </x:c>
      <x:c r="Y255" s="30" t="n">
        <x:f>SUM(U255:X255)</x:f>
        <x:v>695200</x:v>
      </x:c>
    </x:row>
    <x:row r="256">
      <x:c r="A256" t="str">
        <x:v>Short Term Contract</x:v>
      </x:c>
      <x:c r="B256" s="30" t="n">
        <x:v>1000000</x:v>
      </x:c>
      <x:c r="C256" s="30" t="n">
        <x:f>Inputs!$G$5</x:f>
        <x:v>1000</x:v>
      </x:c>
      <x:c r="D256" s="20" t="n">
        <x:f>Inputs!$G$4+VLOOKUP(M256,Inputs!$A$4:$B$7,2,FALSE)</x:f>
        <x:v>0.19</x:v>
      </x:c>
      <x:c r="E256" s="30" t="n">
        <x:f>B256*D256*N256/Inputs!$G$8</x:f>
        <x:v>570000</x:v>
      </x:c>
      <x:c r="F256" s="30" t="n">
        <x:f>B256*Inputs!$G$6</x:f>
        <x:v>30000</x:v>
      </x:c>
      <x:c r="G256" t="str">
        <x:v>120 Days</x:v>
      </x:c>
      <x:c r="H256" s="28" t="n">
        <x:v>120</x:v>
      </x:c>
      <x:c r="I256" s="52" t="n">
        <x:f>Inputs!$G$7</x:f>
        <x:v>0.02</x:v>
      </x:c>
      <x:c r="J256" s="52" t="n">
        <x:f>I256/30</x:f>
        <x:v>0.0006666666666666666</x:v>
      </x:c>
      <x:c r="K256" s="52" t="n">
        <x:f>J256*H256</x:f>
        <x:v>0.08</x:v>
      </x:c>
      <x:c r="L256" s="30" t="n">
        <x:f>(B256+E256)*K256</x:f>
        <x:v>125600</x:v>
      </x:c>
      <x:c r="M256" s="30" t="n">
        <x:f>E256</x:f>
        <x:v>570000</x:v>
      </x:c>
      <x:c r="N256" s="30">
        <x:f>R256-C256-F256</x:f>
      </x:c>
      <x:c r="O256" s="20" t="str">
        <x:f>IF(ABS(D256-(Inputs!$G$4+Inputs!$B$4))&lt;0.000001,"Low Risk",IF(ABS(D256-(Inputs!$G$4+Inputs!$B$5))&lt;0.000001,"Moderate Risk",IF(ABS(D256-(Inputs!$G$4+Inputs!$B$6))&lt;0.000001,"High Risk","Worst Scenario")))</x:f>
        <x:v>High Risk</x:v>
      </x:c>
      <x:c r="P256" s="28" t="n">
        <x:f>IF(A256="Purchase Order Funding",Inputs!$G$13,IF(B256=500000,180,IF(B256=750000,365,1095)))</x:f>
        <x:v>1095</x:v>
      </x:c>
      <x:c r="Q256" s="20" t="n">
        <x:f>D256</x:f>
        <x:v>0.19</x:v>
      </x:c>
      <x:c r="R256" s="30" t="n">
        <x:f>B256+C256+E256+F256+L256</x:f>
        <x:v>1726600</x:v>
      </x:c>
      <x:c r="S256" s="30" t="n">
        <x:f>(B256+E256)*J256</x:f>
        <x:v>1046.6666666666667</x:v>
      </x:c>
      <x:c r="T256" s="30" t="n">
        <x:f>C256+E256+F256+L256</x:f>
        <x:v>726600</x:v>
      </x:c>
      <x:c r="U256" s="30" t="n">
        <x:f>E256</x:f>
        <x:v>570000</x:v>
      </x:c>
      <x:c r="V256" s="30" t="n">
        <x:f>C256</x:f>
        <x:v>1000</x:v>
      </x:c>
      <x:c r="W256" s="30" t="n">
        <x:f>F256</x:f>
        <x:v>30000</x:v>
      </x:c>
      <x:c r="X256" s="30" t="n">
        <x:f>L256</x:f>
        <x:v>125600</x:v>
      </x:c>
      <x:c r="Y256" s="30" t="n">
        <x:f>SUM(U256:X256)</x:f>
        <x:v>726600</x:v>
      </x:c>
    </x:row>
    <x:row r="257">
      <x:c r="A257" t="str">
        <x:v>Short Term Contract</x:v>
      </x:c>
      <x:c r="B257" s="30" t="n">
        <x:v>1000000</x:v>
      </x:c>
      <x:c r="C257" s="30" t="n">
        <x:f>Inputs!$G$5</x:f>
        <x:v>1000</x:v>
      </x:c>
      <x:c r="D257" s="20" t="n">
        <x:f>Inputs!$G$4+VLOOKUP(M257,Inputs!$A$4:$B$7,2,FALSE)</x:f>
        <x:v>0.21</x:v>
      </x:c>
      <x:c r="E257" s="30" t="n">
        <x:f>B257*D257*N257/Inputs!$G$8</x:f>
        <x:v>630000</x:v>
      </x:c>
      <x:c r="F257" s="30" t="n">
        <x:f>B257*Inputs!$G$6</x:f>
        <x:v>30000</x:v>
      </x:c>
      <x:c r="G257" t="str">
        <x:v>30 Days</x:v>
      </x:c>
      <x:c r="H257" s="28" t="n">
        <x:v>30</x:v>
      </x:c>
      <x:c r="I257" s="52" t="n">
        <x:f>Inputs!$G$7</x:f>
        <x:v>0.02</x:v>
      </x:c>
      <x:c r="J257" s="52" t="n">
        <x:f>I257/30</x:f>
        <x:v>0.0006666666666666666</x:v>
      </x:c>
      <x:c r="K257" s="52" t="n">
        <x:f>J257*H257</x:f>
        <x:v>0.02</x:v>
      </x:c>
      <x:c r="L257" s="30" t="n">
        <x:f>(B257+E257)*K257</x:f>
        <x:v>32600</x:v>
      </x:c>
      <x:c r="M257" s="30" t="n">
        <x:f>E257</x:f>
        <x:v>630000</x:v>
      </x:c>
      <x:c r="N257" s="30">
        <x:f>R257-C257-F257</x:f>
      </x:c>
      <x:c r="O257" s="20" t="str">
        <x:f>IF(ABS(D257-(Inputs!$G$4+Inputs!$B$4))&lt;0.000001,"Low Risk",IF(ABS(D257-(Inputs!$G$4+Inputs!$B$5))&lt;0.000001,"Moderate Risk",IF(ABS(D257-(Inputs!$G$4+Inputs!$B$6))&lt;0.000001,"High Risk","Worst Scenario")))</x:f>
        <x:v>Worst Scenario</x:v>
      </x:c>
      <x:c r="P257" s="28" t="n">
        <x:f>IF(A257="Purchase Order Funding",Inputs!$G$13,IF(B257=500000,180,IF(B257=750000,365,1095)))</x:f>
        <x:v>1095</x:v>
      </x:c>
      <x:c r="Q257" s="20" t="n">
        <x:f>D257</x:f>
        <x:v>0.21</x:v>
      </x:c>
      <x:c r="R257" s="30" t="n">
        <x:f>B257+C257+E257+F257+L257</x:f>
        <x:v>1693600</x:v>
      </x:c>
      <x:c r="S257" s="30" t="n">
        <x:f>(B257+E257)*J257</x:f>
        <x:v>1086.6666666666667</x:v>
      </x:c>
      <x:c r="T257" s="30" t="n">
        <x:f>C257+E257+F257+L257</x:f>
        <x:v>693600</x:v>
      </x:c>
      <x:c r="U257" s="30" t="n">
        <x:f>E257</x:f>
        <x:v>630000</x:v>
      </x:c>
      <x:c r="V257" s="30" t="n">
        <x:f>C257</x:f>
        <x:v>1000</x:v>
      </x:c>
      <x:c r="W257" s="30" t="n">
        <x:f>F257</x:f>
        <x:v>30000</x:v>
      </x:c>
      <x:c r="X257" s="30" t="n">
        <x:f>L257</x:f>
        <x:v>32600</x:v>
      </x:c>
      <x:c r="Y257" s="30" t="n">
        <x:f>SUM(U257:X257)</x:f>
        <x:v>693600</x:v>
      </x:c>
    </x:row>
    <x:row r="258">
      <x:c r="A258" t="str">
        <x:v>Short Term Contract</x:v>
      </x:c>
      <x:c r="B258" s="30" t="n">
        <x:v>1000000</x:v>
      </x:c>
      <x:c r="C258" s="30" t="n">
        <x:f>Inputs!$G$5</x:f>
        <x:v>1000</x:v>
      </x:c>
      <x:c r="D258" s="20" t="n">
        <x:f>Inputs!$G$4+VLOOKUP(M258,Inputs!$A$4:$B$7,2,FALSE)</x:f>
        <x:v>0.21</x:v>
      </x:c>
      <x:c r="E258" s="30" t="n">
        <x:f>B258*D258*N258/Inputs!$G$8</x:f>
        <x:v>630000</x:v>
      </x:c>
      <x:c r="F258" s="30" t="n">
        <x:f>B258*Inputs!$G$6</x:f>
        <x:v>30000</x:v>
      </x:c>
      <x:c r="G258" t="str">
        <x:v>60 Days</x:v>
      </x:c>
      <x:c r="H258" s="28" t="n">
        <x:v>60</x:v>
      </x:c>
      <x:c r="I258" s="52" t="n">
        <x:f>Inputs!$G$7</x:f>
        <x:v>0.02</x:v>
      </x:c>
      <x:c r="J258" s="52" t="n">
        <x:f>I258/30</x:f>
        <x:v>0.0006666666666666666</x:v>
      </x:c>
      <x:c r="K258" s="52" t="n">
        <x:f>J258*H258</x:f>
        <x:v>0.04</x:v>
      </x:c>
      <x:c r="L258" s="30" t="n">
        <x:f>(B258+E258)*K258</x:f>
        <x:v>65200</x:v>
      </x:c>
      <x:c r="M258" s="30" t="n">
        <x:f>E258</x:f>
        <x:v>630000</x:v>
      </x:c>
      <x:c r="N258" s="30">
        <x:f>R258-C258-F258</x:f>
      </x:c>
      <x:c r="O258" s="20" t="str">
        <x:f>IF(ABS(D258-(Inputs!$G$4+Inputs!$B$4))&lt;0.000001,"Low Risk",IF(ABS(D258-(Inputs!$G$4+Inputs!$B$5))&lt;0.000001,"Moderate Risk",IF(ABS(D258-(Inputs!$G$4+Inputs!$B$6))&lt;0.000001,"High Risk","Worst Scenario")))</x:f>
        <x:v>Worst Scenario</x:v>
      </x:c>
      <x:c r="P258" s="28" t="n">
        <x:f>IF(A258="Purchase Order Funding",Inputs!$G$13,IF(B258=500000,180,IF(B258=750000,365,1095)))</x:f>
        <x:v>1095</x:v>
      </x:c>
      <x:c r="Q258" s="20" t="n">
        <x:f>D258</x:f>
        <x:v>0.21</x:v>
      </x:c>
      <x:c r="R258" s="30" t="n">
        <x:f>B258+C258+E258+F258+L258</x:f>
        <x:v>1726200</x:v>
      </x:c>
      <x:c r="S258" s="30" t="n">
        <x:f>(B258+E258)*J258</x:f>
        <x:v>1086.6666666666667</x:v>
      </x:c>
      <x:c r="T258" s="30" t="n">
        <x:f>C258+E258+F258+L258</x:f>
        <x:v>726200</x:v>
      </x:c>
      <x:c r="U258" s="30" t="n">
        <x:f>E258</x:f>
        <x:v>630000</x:v>
      </x:c>
      <x:c r="V258" s="30" t="n">
        <x:f>C258</x:f>
        <x:v>1000</x:v>
      </x:c>
      <x:c r="W258" s="30" t="n">
        <x:f>F258</x:f>
        <x:v>30000</x:v>
      </x:c>
      <x:c r="X258" s="30" t="n">
        <x:f>L258</x:f>
        <x:v>65200</x:v>
      </x:c>
      <x:c r="Y258" s="30" t="n">
        <x:f>SUM(U258:X258)</x:f>
        <x:v>726200</x:v>
      </x:c>
    </x:row>
    <x:row r="259">
      <x:c r="A259" t="str">
        <x:v>Short Term Contract</x:v>
      </x:c>
      <x:c r="B259" s="30" t="n">
        <x:v>1000000</x:v>
      </x:c>
      <x:c r="C259" s="30" t="n">
        <x:f>Inputs!$G$5</x:f>
        <x:v>1000</x:v>
      </x:c>
      <x:c r="D259" s="20" t="n">
        <x:f>Inputs!$G$4+VLOOKUP(M259,Inputs!$A$4:$B$7,2,FALSE)</x:f>
        <x:v>0.21</x:v>
      </x:c>
      <x:c r="E259" s="30" t="n">
        <x:f>B259*D259*N259/Inputs!$G$8</x:f>
        <x:v>630000</x:v>
      </x:c>
      <x:c r="F259" s="30" t="n">
        <x:f>B259*Inputs!$G$6</x:f>
        <x:v>30000</x:v>
      </x:c>
      <x:c r="G259" t="str">
        <x:v>90 Days</x:v>
      </x:c>
      <x:c r="H259" s="28" t="n">
        <x:v>90</x:v>
      </x:c>
      <x:c r="I259" s="52" t="n">
        <x:f>Inputs!$G$7</x:f>
        <x:v>0.02</x:v>
      </x:c>
      <x:c r="J259" s="52" t="n">
        <x:f>I259/30</x:f>
        <x:v>0.0006666666666666666</x:v>
      </x:c>
      <x:c r="K259" s="52" t="n">
        <x:f>J259*H259</x:f>
        <x:v>0.06</x:v>
      </x:c>
      <x:c r="L259" s="30" t="n">
        <x:f>(B259+E259)*K259</x:f>
        <x:v>97800</x:v>
      </x:c>
      <x:c r="M259" s="30" t="n">
        <x:f>E259</x:f>
        <x:v>630000</x:v>
      </x:c>
      <x:c r="N259" s="30">
        <x:f>R259-C259-F259</x:f>
      </x:c>
      <x:c r="O259" s="20" t="str">
        <x:f>IF(ABS(D259-(Inputs!$G$4+Inputs!$B$4))&lt;0.000001,"Low Risk",IF(ABS(D259-(Inputs!$G$4+Inputs!$B$5))&lt;0.000001,"Moderate Risk",IF(ABS(D259-(Inputs!$G$4+Inputs!$B$6))&lt;0.000001,"High Risk","Worst Scenario")))</x:f>
        <x:v>Worst Scenario</x:v>
      </x:c>
      <x:c r="P259" s="28" t="n">
        <x:f>IF(A259="Purchase Order Funding",Inputs!$G$13,IF(B259=500000,180,IF(B259=750000,365,1095)))</x:f>
        <x:v>1095</x:v>
      </x:c>
      <x:c r="Q259" s="20" t="n">
        <x:f>D259</x:f>
        <x:v>0.21</x:v>
      </x:c>
      <x:c r="R259" s="30" t="n">
        <x:f>B259+C259+E259+F259+L259</x:f>
        <x:v>1758800</x:v>
      </x:c>
      <x:c r="S259" s="30" t="n">
        <x:f>(B259+E259)*J259</x:f>
        <x:v>1086.6666666666667</x:v>
      </x:c>
      <x:c r="T259" s="30" t="n">
        <x:f>C259+E259+F259+L259</x:f>
        <x:v>758800</x:v>
      </x:c>
      <x:c r="U259" s="30" t="n">
        <x:f>E259</x:f>
        <x:v>630000</x:v>
      </x:c>
      <x:c r="V259" s="30" t="n">
        <x:f>C259</x:f>
        <x:v>1000</x:v>
      </x:c>
      <x:c r="W259" s="30" t="n">
        <x:f>F259</x:f>
        <x:v>30000</x:v>
      </x:c>
      <x:c r="X259" s="30" t="n">
        <x:f>L259</x:f>
        <x:v>97800</x:v>
      </x:c>
      <x:c r="Y259" s="30" t="n">
        <x:f>SUM(U259:X259)</x:f>
        <x:v>758800</x:v>
      </x:c>
    </x:row>
    <x:row r="260">
      <x:c r="A260" t="str">
        <x:v>Short Term Contract</x:v>
      </x:c>
      <x:c r="B260" s="30" t="n">
        <x:v>1000000</x:v>
      </x:c>
      <x:c r="C260" s="30" t="n">
        <x:f>Inputs!$G$5</x:f>
        <x:v>1000</x:v>
      </x:c>
      <x:c r="D260" s="20" t="n">
        <x:f>Inputs!$G$4+VLOOKUP(M260,Inputs!$A$4:$B$7,2,FALSE)</x:f>
        <x:v>0.21</x:v>
      </x:c>
      <x:c r="E260" s="30" t="n">
        <x:f>B260*D260*N260/Inputs!$G$8</x:f>
        <x:v>630000</x:v>
      </x:c>
      <x:c r="F260" s="30" t="n">
        <x:f>B260*Inputs!$G$6</x:f>
        <x:v>30000</x:v>
      </x:c>
      <x:c r="G260" t="str">
        <x:v>120 Days</x:v>
      </x:c>
      <x:c r="H260" s="28" t="n">
        <x:v>120</x:v>
      </x:c>
      <x:c r="I260" s="52" t="n">
        <x:f>Inputs!$G$7</x:f>
        <x:v>0.02</x:v>
      </x:c>
      <x:c r="J260" s="52" t="n">
        <x:f>I260/30</x:f>
        <x:v>0.0006666666666666666</x:v>
      </x:c>
      <x:c r="K260" s="52" t="n">
        <x:f>J260*H260</x:f>
        <x:v>0.08</x:v>
      </x:c>
      <x:c r="L260" s="30" t="n">
        <x:f>(B260+E260)*K260</x:f>
        <x:v>130400</x:v>
      </x:c>
      <x:c r="M260" s="30" t="n">
        <x:f>E260</x:f>
        <x:v>630000</x:v>
      </x:c>
      <x:c r="N260" s="30">
        <x:f>R260-C260-F260</x:f>
      </x:c>
      <x:c r="O260" s="20" t="str">
        <x:f>IF(ABS(D260-(Inputs!$G$4+Inputs!$B$4))&lt;0.000001,"Low Risk",IF(ABS(D260-(Inputs!$G$4+Inputs!$B$5))&lt;0.000001,"Moderate Risk",IF(ABS(D260-(Inputs!$G$4+Inputs!$B$6))&lt;0.000001,"High Risk","Worst Scenario")))</x:f>
        <x:v>Worst Scenario</x:v>
      </x:c>
      <x:c r="P260" s="28" t="n">
        <x:f>IF(A260="Purchase Order Funding",Inputs!$G$13,IF(B260=500000,180,IF(B260=750000,365,1095)))</x:f>
        <x:v>1095</x:v>
      </x:c>
      <x:c r="Q260" s="20" t="n">
        <x:f>D260</x:f>
        <x:v>0.21</x:v>
      </x:c>
      <x:c r="R260" s="30" t="n">
        <x:f>B260+C260+E260+F260+L260</x:f>
        <x:v>1791400</x:v>
      </x:c>
      <x:c r="S260" s="30" t="n">
        <x:f>(B260+E260)*J260</x:f>
        <x:v>1086.6666666666667</x:v>
      </x:c>
      <x:c r="T260" s="30" t="n">
        <x:f>C260+E260+F260+L260</x:f>
        <x:v>791400</x:v>
      </x:c>
      <x:c r="U260" s="30" t="n">
        <x:f>E260</x:f>
        <x:v>630000</x:v>
      </x:c>
      <x:c r="V260" s="30" t="n">
        <x:f>C260</x:f>
        <x:v>1000</x:v>
      </x:c>
      <x:c r="W260" s="30" t="n">
        <x:f>F260</x:f>
        <x:v>30000</x:v>
      </x:c>
      <x:c r="X260" s="30" t="n">
        <x:f>L260</x:f>
        <x:v>130400</x:v>
      </x:c>
      <x:c r="Y260" s="30" t="n">
        <x:f>SUM(U260:X260)</x:f>
        <x:v>791400</x:v>
      </x:c>
    </x:row>
  </x:sheetData>
  <x:mergeCells>
    <x:mergeCell ref="A1:Q1"/>
    <x:mergeCell ref="A2:Y2"/>
  </x:mergeCells>
  <x:conditionalFormatting sqref="G5:G260">
    <x:cfRule type="expression" dxfId="0" priority="1">
      <x:formula>G5="30 Days"</x:formula>
    </x:cfRule>
    <x:cfRule type="expression" dxfId="1" priority="2">
      <x:formula>OR(G5="60 Days",G5="90 Days",G5="120 Days")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dbd945bc9b54cf9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20" hidden="0" customWidth="1"/>
    <x:col min="4" max="4" width="20" hidden="0" customWidth="1"/>
    <x:col min="5" max="5" width="20" hidden="0" customWidth="1"/>
    <x:col min="6" max="6" width="22" hidden="0" customWidth="1"/>
    <x:col min="8" max="8" width="20" hidden="0" customWidth="1"/>
    <x:col min="9" max="9" width="14" hidden="0" customWidth="1"/>
    <x:col min="10" max="10" width="20" hidden="0" customWidth="1"/>
  </x:cols>
  <x:sheetData>
    <x:row r="1">
      <x:c r="A1" s="5" t="str">
        <x:v>PRDF Product Behaviour &amp; Arrears Reporting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3">
      <x:c r="A3" s="14" t="str">
        <x:v>Product</x:v>
      </x:c>
      <x:c r="B3" s="14" t="str">
        <x:v>Scenario Count</x:v>
      </x:c>
      <x:c r="C3" s="14" t="str">
        <x:v>Total Capital</x:v>
      </x:c>
      <x:c r="D3" s="14" t="str">
        <x:v>Total Interest</x:v>
      </x:c>
      <x:c r="E3" s="14" t="str">
        <x:v>Total Penalties</x:v>
      </x:c>
      <x:c r="F3" s="14" t="str">
        <x:v>Full Amount incl. Fees</x:v>
      </x:c>
      <x:c r="H3" s="14" t="str">
        <x:v>Risk Grade</x:v>
      </x:c>
      <x:c r="I3" s="14" t="str">
        <x:v>Count</x:v>
      </x:c>
      <x:c r="J3" s="14" t="str">
        <x:v>Total Capital</x:v>
      </x:c>
    </x:row>
    <x:row r="4">
      <x:c r="A4" t="str">
        <x:v>Purchase Order Funding</x:v>
      </x:c>
      <x:c r="B4" t="n">
        <x:f>COUNTIF('Late Payment Scenarios'!$A$5:$A$260,A4)</x:f>
        <x:v>64</x:v>
      </x:c>
      <x:c r="C4" s="30" t="n">
        <x:f>SUMIF('Late Payment Scenarios'!$A$5:$A$260,A4,'Late Payment Scenarios'!$B$5:$B$260)</x:f>
        <x:v>23200000</x:v>
      </x:c>
      <x:c r="D4" s="30" t="n">
        <x:f>SUMIF('Late Payment Scenarios'!$A$5:$A$260,A4,'Late Payment Scenarios'!$M$5:$M$260)</x:f>
        <x:v>1036849.3150684932</x:v>
      </x:c>
      <x:c r="E4" s="30" t="n">
        <x:f>SUMIF('Late Payment Scenarios'!$A$5:$A$260,A4,'Late Payment Scenarios'!$L$5:$L$260)</x:f>
        <x:v>1211842.465753425</x:v>
      </x:c>
      <x:c r="F4" s="30" t="n">
        <x:f>SUMIF('Late Payment Scenarios'!$A$5:$A$260,A4,'Late Payment Scenarios'!$R$5:$R$260)</x:f>
        <x:v>26208691.780821916</x:v>
      </x:c>
      <x:c r="H4" t="str">
        <x:v>Low Risk</x:v>
      </x:c>
      <x:c r="I4" t="n">
        <x:f>COUNTIF('Late Payment Scenarios'!$O$5:$O$260,H4)</x:f>
        <x:v>64</x:v>
      </x:c>
      <x:c r="J4" s="30" t="n">
        <x:f>SUMIF('Late Payment Scenarios'!$O$5:$O$260,H4,'Late Payment Scenarios'!$B$5:$B$260)</x:f>
        <x:v>41800000</x:v>
      </x:c>
    </x:row>
    <x:row r="5">
      <x:c r="A5" t="str">
        <x:v>Short Term Contract</x:v>
      </x:c>
      <x:c r="B5" t="n">
        <x:f>COUNTIF('Late Payment Scenarios'!$A$5:$A$260,A5)</x:f>
        <x:v>192</x:v>
      </x:c>
      <x:c r="C5" s="30" t="n">
        <x:f>SUMIF('Late Payment Scenarios'!$A$5:$A$260,A5,'Late Payment Scenarios'!$B$5:$B$260)</x:f>
        <x:v>144000000</x:v>
      </x:c>
      <x:c r="D5" s="30" t="n">
        <x:f>SUMIF('Late Payment Scenarios'!$A$5:$A$260,A5,'Late Payment Scenarios'!$M$5:$M$260)</x:f>
        <x:v>42367808.21917808</x:v>
      </x:c>
      <x:c r="E5" s="30" t="n">
        <x:f>SUMIF('Late Payment Scenarios'!$A$5:$A$260,A5,'Late Payment Scenarios'!$L$5:$L$260)</x:f>
        <x:v>9318390.410958905</x:v>
      </x:c>
      <x:c r="F5" s="30" t="n">
        <x:f>SUMIF('Late Payment Scenarios'!$A$5:$A$260,A5,'Late Payment Scenarios'!$R$5:$R$260)</x:f>
        <x:v>200198198.63013697</x:v>
      </x:c>
      <x:c r="H5" t="str">
        <x:v>Moderate Risk</x:v>
      </x:c>
      <x:c r="I5" t="n">
        <x:f>COUNTIF('Late Payment Scenarios'!$O$5:$O$260,H5)</x:f>
        <x:v>64</x:v>
      </x:c>
      <x:c r="J5" s="30" t="n">
        <x:f>SUMIF('Late Payment Scenarios'!$O$5:$O$260,H5,'Late Payment Scenarios'!$B$5:$B$260)</x:f>
        <x:v>41800000</x:v>
      </x:c>
    </x:row>
    <x:row r="6">
      <x:c r="H6" t="str">
        <x:v>High Risk</x:v>
      </x:c>
      <x:c r="I6" t="n">
        <x:f>COUNTIF('Late Payment Scenarios'!$O$5:$O$260,H6)</x:f>
        <x:v>64</x:v>
      </x:c>
      <x:c r="J6" s="30" t="n">
        <x:f>SUMIF('Late Payment Scenarios'!$O$5:$O$260,H6,'Late Payment Scenarios'!$B$5:$B$260)</x:f>
        <x:v>41800000</x:v>
      </x:c>
    </x:row>
    <x:row r="7">
      <x:c r="H7" t="str">
        <x:v>Worst Scenario</x:v>
      </x:c>
      <x:c r="I7" t="n">
        <x:f>COUNTIF('Late Payment Scenarios'!$O$5:$O$260,H7)</x:f>
        <x:v>64</x:v>
      </x:c>
      <x:c r="J7" s="30" t="n">
        <x:f>SUMIF('Late Payment Scenarios'!$O$5:$O$260,H7,'Late Payment Scenarios'!$B$5:$B$260)</x:f>
        <x:v>41800000</x:v>
      </x:c>
    </x:row>
    <x:row r="8">
      <x:c r="A8" s="14" t="str">
        <x:v>Ageing Bucket</x:v>
      </x:c>
      <x:c r="B8" s="14" t="str">
        <x:v>Account Count</x:v>
      </x:c>
      <x:c r="C8" s="14" t="str">
        <x:v>Total Capital</x:v>
      </x:c>
      <x:c r="D8" s="14" t="str">
        <x:v>Total Interest</x:v>
      </x:c>
      <x:c r="E8" s="14" t="str">
        <x:v>Total Penalty</x:v>
      </x:c>
      <x:c r="F8" s="14" t="str">
        <x:v>Full Amount incl. Fees</x:v>
      </x:c>
    </x:row>
    <x:row r="9">
      <x:c r="A9" t="str">
        <x:v>30 Days</x:v>
      </x:c>
      <x:c r="B9" t="n">
        <x:f>COUNTIF('Late Payment Scenarios'!$G$5:$G$260,A9)</x:f>
        <x:v>64</x:v>
      </x:c>
      <x:c r="C9" s="30" t="n">
        <x:f>SUMIF('Late Payment Scenarios'!$G$5:$G$260,A9,'Late Payment Scenarios'!$B$5:$B$260)</x:f>
        <x:v>41800000</x:v>
      </x:c>
      <x:c r="D9" s="30" t="n">
        <x:f>SUMIF('Late Payment Scenarios'!$G$5:$G$260,A9,'Late Payment Scenarios'!$M$5:$M$260)</x:f>
        <x:v>10851164.383561645</x:v>
      </x:c>
      <x:c r="E9" s="30" t="n">
        <x:f>SUMIF('Late Payment Scenarios'!$G$5:$G$260,A9,'Late Payment Scenarios'!$L$5:$L$260)</x:f>
        <x:v>1053023.2876712328</x:v>
      </x:c>
      <x:c r="F9" s="30" t="n">
        <x:f>SUMIF('Late Payment Scenarios'!$G$5:$G$260,A9,'Late Payment Scenarios'!$R$5:$R$260)</x:f>
        <x:v>55022187.67123288</x:v>
      </x:c>
    </x:row>
    <x:row r="10">
      <x:c r="A10" t="str">
        <x:v>60 Days</x:v>
      </x:c>
      <x:c r="B10" t="n">
        <x:f>COUNTIF('Late Payment Scenarios'!$G$5:$G$260,A10)</x:f>
        <x:v>64</x:v>
      </x:c>
      <x:c r="C10" s="30" t="n">
        <x:f>SUMIF('Late Payment Scenarios'!$G$5:$G$260,A10,'Late Payment Scenarios'!$B$5:$B$260)</x:f>
        <x:v>41800000</x:v>
      </x:c>
      <x:c r="D10" s="30" t="n">
        <x:f>SUMIF('Late Payment Scenarios'!$G$5:$G$260,A10,'Late Payment Scenarios'!$M$5:$M$260)</x:f>
        <x:v>10851164.383561645</x:v>
      </x:c>
      <x:c r="E10" s="30" t="n">
        <x:f>SUMIF('Late Payment Scenarios'!$G$5:$G$260,A10,'Late Payment Scenarios'!$L$5:$L$260)</x:f>
        <x:v>2106046.5753424657</x:v>
      </x:c>
      <x:c r="F10" s="30" t="n">
        <x:f>SUMIF('Late Payment Scenarios'!$G$5:$G$260,A10,'Late Payment Scenarios'!$R$5:$R$260)</x:f>
        <x:v>56075210.95890412</x:v>
      </x:c>
    </x:row>
    <x:row r="11">
      <x:c r="A11" t="str">
        <x:v>90 Days</x:v>
      </x:c>
      <x:c r="B11" t="n">
        <x:f>COUNTIF('Late Payment Scenarios'!$G$5:$G$260,A11)</x:f>
        <x:v>64</x:v>
      </x:c>
      <x:c r="C11" s="30" t="n">
        <x:f>SUMIF('Late Payment Scenarios'!$G$5:$G$260,A11,'Late Payment Scenarios'!$B$5:$B$260)</x:f>
        <x:v>41800000</x:v>
      </x:c>
      <x:c r="D11" s="30" t="n">
        <x:f>SUMIF('Late Payment Scenarios'!$G$5:$G$260,A11,'Late Payment Scenarios'!$M$5:$M$260)</x:f>
        <x:v>10851164.383561645</x:v>
      </x:c>
      <x:c r="E11" s="30" t="n">
        <x:f>SUMIF('Late Payment Scenarios'!$G$5:$G$260,A11,'Late Payment Scenarios'!$L$5:$L$260)</x:f>
        <x:v>3159069.8630136983</x:v>
      </x:c>
      <x:c r="F11" s="30" t="n">
        <x:f>SUMIF('Late Payment Scenarios'!$G$5:$G$260,A11,'Late Payment Scenarios'!$R$5:$R$260)</x:f>
        <x:v>57128234.24657535</x:v>
      </x:c>
    </x:row>
    <x:row r="12">
      <x:c r="A12" t="str">
        <x:v>120 Days</x:v>
      </x:c>
      <x:c r="B12" t="n">
        <x:f>COUNTIF('Late Payment Scenarios'!$G$5:$G$260,A12)</x:f>
        <x:v>64</x:v>
      </x:c>
      <x:c r="C12" s="30" t="n">
        <x:f>SUMIF('Late Payment Scenarios'!$G$5:$G$260,A12,'Late Payment Scenarios'!$B$5:$B$260)</x:f>
        <x:v>41800000</x:v>
      </x:c>
      <x:c r="D12" s="30" t="n">
        <x:f>SUMIF('Late Payment Scenarios'!$G$5:$G$260,A12,'Late Payment Scenarios'!$M$5:$M$260)</x:f>
        <x:v>10851164.383561645</x:v>
      </x:c>
      <x:c r="E12" s="30" t="n">
        <x:f>SUMIF('Late Payment Scenarios'!$G$5:$G$260,A12,'Late Payment Scenarios'!$L$5:$L$260)</x:f>
        <x:v>4212093.150684931</x:v>
      </x:c>
      <x:c r="F12" s="30" t="n">
        <x:f>SUMIF('Late Payment Scenarios'!$G$5:$G$260,A12,'Late Payment Scenarios'!$R$5:$R$260)</x:f>
        <x:v>58181257.53424657</x:v>
      </x:c>
    </x:row>
  </x:sheetData>
  <x:mergeCells>
    <x:mergeCell ref="A1:J1"/>
  </x:mergeCells>
  <x:pageMargins left="0.7" right="0.7" top="0.75" bottom="0.75" header="0.3" footer="0.3"/>
  <x:drawing xmlns:r="http://schemas.openxmlformats.org/officeDocument/2006/relationships" r:id="R7f5be7804a504c8a"/>
</x:worksheet>
</file>